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po\Documents\Research\STICS\Code\mkSTICSfiles\files\"/>
    </mc:Choice>
  </mc:AlternateContent>
  <xr:revisionPtr revIDLastSave="0" documentId="13_ncr:1_{67BF1FC8-893B-4771-AFAB-51E4FECF767D}" xr6:coauthVersionLast="47" xr6:coauthVersionMax="47" xr10:uidLastSave="{00000000-0000-0000-0000-000000000000}"/>
  <bookViews>
    <workbookView xWindow="-108" yWindow="-108" windowWidth="30936" windowHeight="12456" tabRatio="500" activeTab="2" xr2:uid="{00000000-000D-0000-FFFF-FFFF00000000}"/>
  </bookViews>
  <sheets>
    <sheet name="usms" sheetId="1" r:id="rId1"/>
    <sheet name="ini" sheetId="2" r:id="rId2"/>
    <sheet name="sol" sheetId="3" r:id="rId3"/>
    <sheet name="tec" sheetId="5" r:id="rId4"/>
    <sheet name="sta" sheetId="6" r:id="rId5"/>
    <sheet name="obs" sheetId="11" r:id="rId6"/>
    <sheet name="obs - RG19_vol" sheetId="18" r:id="rId7"/>
    <sheet name="obs - RG19_FA_vol" sheetId="19" r:id="rId8"/>
    <sheet name="obs - RG19_Y100_vol" sheetId="20" r:id="rId9"/>
    <sheet name="obs - RG19_bd1.4" sheetId="12" r:id="rId10"/>
    <sheet name="obs - RG19_FA_bd1.4" sheetId="13" r:id="rId11"/>
    <sheet name="obs - RG19_Y100_bd1.4" sheetId="14" r:id="rId12"/>
    <sheet name="obs - RG19_bd1.2" sheetId="15" r:id="rId13"/>
    <sheet name="obs - RG19_FA_bd1.2" sheetId="16" r:id="rId14"/>
    <sheet name="obs - RG19_Y100_bd1.2" sheetId="17" r:id="rId15"/>
  </sheets>
  <externalReferences>
    <externalReference r:id="rId1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" i="2" l="1"/>
  <c r="V4" i="2"/>
  <c r="F102" i="11"/>
  <c r="F101" i="11"/>
  <c r="F100" i="11"/>
  <c r="F99" i="11"/>
  <c r="F98" i="11"/>
  <c r="F97" i="11"/>
  <c r="F96" i="11"/>
  <c r="F95" i="11"/>
  <c r="F94" i="11"/>
  <c r="F93" i="11"/>
  <c r="F92" i="11"/>
  <c r="F91" i="11"/>
  <c r="F90" i="11"/>
  <c r="F89" i="11"/>
  <c r="F88" i="11"/>
  <c r="F87" i="11"/>
  <c r="F86" i="11"/>
  <c r="F85" i="11"/>
  <c r="F84" i="11"/>
  <c r="F83" i="11"/>
  <c r="F82" i="11"/>
  <c r="F81" i="11"/>
  <c r="F80" i="11"/>
  <c r="F79" i="11"/>
  <c r="F78" i="11"/>
  <c r="F77" i="11"/>
  <c r="F76" i="11"/>
  <c r="F75" i="11"/>
  <c r="F74" i="11"/>
  <c r="F73" i="11"/>
  <c r="F72" i="11"/>
  <c r="F71" i="11"/>
  <c r="F70" i="11"/>
  <c r="F68" i="11"/>
  <c r="F67" i="11"/>
  <c r="F66" i="11"/>
  <c r="F65" i="11"/>
  <c r="F64" i="11"/>
  <c r="F63" i="11"/>
  <c r="F62" i="11"/>
  <c r="F61" i="11"/>
  <c r="F60" i="11"/>
  <c r="F59" i="11"/>
  <c r="F58" i="11"/>
  <c r="F57" i="11"/>
  <c r="F56" i="11"/>
  <c r="F55" i="11"/>
  <c r="F54" i="11"/>
  <c r="F53" i="11"/>
  <c r="F52" i="11"/>
  <c r="F51" i="11"/>
  <c r="F50" i="11"/>
  <c r="F49" i="11"/>
  <c r="F48" i="11"/>
  <c r="F47" i="11"/>
  <c r="F46" i="11"/>
  <c r="F45" i="11"/>
  <c r="F44" i="11"/>
  <c r="F43" i="11"/>
  <c r="F42" i="11"/>
  <c r="F41" i="11"/>
  <c r="F40" i="11"/>
  <c r="F39" i="11"/>
  <c r="F38" i="11"/>
  <c r="F37" i="11"/>
  <c r="F36" i="11"/>
  <c r="F34" i="11"/>
  <c r="F33" i="11"/>
  <c r="F32" i="11"/>
  <c r="F31" i="11"/>
  <c r="F30" i="11"/>
  <c r="F29" i="11"/>
  <c r="F28" i="11"/>
  <c r="F27" i="11"/>
  <c r="F26" i="11"/>
  <c r="F25" i="11"/>
  <c r="F24" i="11"/>
  <c r="F23" i="11"/>
  <c r="F22" i="11"/>
  <c r="F21" i="11"/>
  <c r="F20" i="11"/>
  <c r="F19" i="11"/>
  <c r="F18" i="11"/>
  <c r="F17" i="11"/>
  <c r="F16" i="11"/>
  <c r="F15" i="11"/>
  <c r="F14" i="11"/>
  <c r="F13" i="11"/>
  <c r="F12" i="11"/>
  <c r="F11" i="11"/>
  <c r="F10" i="11"/>
  <c r="F9" i="11"/>
  <c r="F8" i="11"/>
  <c r="F7" i="11"/>
  <c r="F6" i="11"/>
  <c r="F5" i="11"/>
  <c r="F4" i="11"/>
  <c r="F3" i="11"/>
  <c r="F2" i="11"/>
  <c r="V3" i="2" l="1"/>
  <c r="V2" i="2"/>
</calcChain>
</file>

<file path=xl/sharedStrings.xml><?xml version="1.0" encoding="utf-8"?>
<sst xmlns="http://schemas.openxmlformats.org/spreadsheetml/2006/main" count="575" uniqueCount="301">
  <si>
    <t>usm_name</t>
  </si>
  <si>
    <t>datedebut</t>
  </si>
  <si>
    <t>datefin</t>
  </si>
  <si>
    <t>finit</t>
  </si>
  <si>
    <t>nomsol</t>
  </si>
  <si>
    <t>fstation</t>
  </si>
  <si>
    <t>fclim1</t>
  </si>
  <si>
    <t>fclim2</t>
  </si>
  <si>
    <t>culturean</t>
  </si>
  <si>
    <t>nbplantes</t>
  </si>
  <si>
    <t>codesimul</t>
  </si>
  <si>
    <t>fplt_1</t>
  </si>
  <si>
    <t>ftec_1</t>
  </si>
  <si>
    <t>flai_1</t>
  </si>
  <si>
    <t>fobs_1</t>
  </si>
  <si>
    <t>fplt_2</t>
  </si>
  <si>
    <t>ftec_2</t>
  </si>
  <si>
    <t>flai_2</t>
  </si>
  <si>
    <t>fobs_2</t>
  </si>
  <si>
    <t>Ini_name</t>
  </si>
  <si>
    <t>stade0_Crop1</t>
  </si>
  <si>
    <t>lai0_Crop1</t>
  </si>
  <si>
    <t>magrain0_Crop1</t>
  </si>
  <si>
    <t>zrac0_Crop1</t>
  </si>
  <si>
    <t>code_acti_reserve_Crop1</t>
  </si>
  <si>
    <t>masec0_Crop1</t>
  </si>
  <si>
    <t>QNplante0_Crop1</t>
  </si>
  <si>
    <t>restemp0_Crop1</t>
  </si>
  <si>
    <t>densinitial_1_Crop1</t>
  </si>
  <si>
    <t>densinitial_2_Crop1</t>
  </si>
  <si>
    <t>densinitial_3_Crop1</t>
  </si>
  <si>
    <t>densinitial_4_Crop1</t>
  </si>
  <si>
    <t>densinitial_5_Crop1</t>
  </si>
  <si>
    <t>Hinitf_1</t>
  </si>
  <si>
    <t>Hinitf_2</t>
  </si>
  <si>
    <t>Hinitf_3</t>
  </si>
  <si>
    <t>Hinitf_4</t>
  </si>
  <si>
    <t>Hinitf_5</t>
  </si>
  <si>
    <t>NO3initf_1</t>
  </si>
  <si>
    <t>NO3initf_2</t>
  </si>
  <si>
    <t>NO3initf_3</t>
  </si>
  <si>
    <t>NO3initf_4</t>
  </si>
  <si>
    <t>NO3initf_5</t>
  </si>
  <si>
    <t>NH4initf_1</t>
  </si>
  <si>
    <t>NH4initf_2</t>
  </si>
  <si>
    <t>NH4initf_3</t>
  </si>
  <si>
    <t>NH4initf_4</t>
  </si>
  <si>
    <t>NH4initf_5</t>
  </si>
  <si>
    <t>snu</t>
  </si>
  <si>
    <t>Soil_name</t>
  </si>
  <si>
    <t>argi</t>
  </si>
  <si>
    <t>norg</t>
  </si>
  <si>
    <t>profhum</t>
  </si>
  <si>
    <t>calc</t>
  </si>
  <si>
    <t>pH</t>
  </si>
  <si>
    <t>concseuil</t>
  </si>
  <si>
    <t>albedo</t>
  </si>
  <si>
    <t>q0</t>
  </si>
  <si>
    <t>ruisolnu</t>
  </si>
  <si>
    <t>obstarac</t>
  </si>
  <si>
    <t>pluiebat</t>
  </si>
  <si>
    <t>mulchbat</t>
  </si>
  <si>
    <t>zesx</t>
  </si>
  <si>
    <t>cfes</t>
  </si>
  <si>
    <t>z0solnu</t>
  </si>
  <si>
    <t>CsurNsol</t>
  </si>
  <si>
    <t>finert</t>
  </si>
  <si>
    <t>penterui</t>
  </si>
  <si>
    <t>codecailloux</t>
  </si>
  <si>
    <t>codemacropor</t>
  </si>
  <si>
    <t>codefente</t>
  </si>
  <si>
    <t>codrainage</t>
  </si>
  <si>
    <t>profimper</t>
  </si>
  <si>
    <t>ecartdrain</t>
  </si>
  <si>
    <t>ksol</t>
  </si>
  <si>
    <t>profdrain</t>
  </si>
  <si>
    <t>coderemontcap</t>
  </si>
  <si>
    <t>capiljour</t>
  </si>
  <si>
    <t>humcapil</t>
  </si>
  <si>
    <t>codenitrif</t>
  </si>
  <si>
    <t>codedenit</t>
  </si>
  <si>
    <t>profdenit</t>
  </si>
  <si>
    <t>vpotdenit</t>
  </si>
  <si>
    <t>epc_1</t>
  </si>
  <si>
    <t>HCCF_1</t>
  </si>
  <si>
    <t>HMINF_1</t>
  </si>
  <si>
    <t>DAF_1</t>
  </si>
  <si>
    <t>typecailloux_1</t>
  </si>
  <si>
    <t>cailloux_1</t>
  </si>
  <si>
    <t>infil_1</t>
  </si>
  <si>
    <t>epd_1</t>
  </si>
  <si>
    <t>epc_2</t>
  </si>
  <si>
    <t>HCCF_2</t>
  </si>
  <si>
    <t>HMINF_2</t>
  </si>
  <si>
    <t>DAF_2</t>
  </si>
  <si>
    <t>typecailloux_2</t>
  </si>
  <si>
    <t>cailloux_2</t>
  </si>
  <si>
    <t>infil_2</t>
  </si>
  <si>
    <t>epd_2</t>
  </si>
  <si>
    <t>epc_3</t>
  </si>
  <si>
    <t>HCCF_3</t>
  </si>
  <si>
    <t>HMINF_3</t>
  </si>
  <si>
    <t>DAF_3</t>
  </si>
  <si>
    <t>typecailloux_3</t>
  </si>
  <si>
    <t>cailloux_3</t>
  </si>
  <si>
    <t>infil_3</t>
  </si>
  <si>
    <t>epd_3</t>
  </si>
  <si>
    <t>epc_4</t>
  </si>
  <si>
    <t>HCCF_4</t>
  </si>
  <si>
    <t>HMINF_4</t>
  </si>
  <si>
    <t>DAF_4</t>
  </si>
  <si>
    <t>typecailloux_4</t>
  </si>
  <si>
    <t>cailloux_4</t>
  </si>
  <si>
    <t>infil_4</t>
  </si>
  <si>
    <t>epd_4</t>
  </si>
  <si>
    <t>epc_5</t>
  </si>
  <si>
    <t>Tec_name</t>
  </si>
  <si>
    <t>julres_1</t>
  </si>
  <si>
    <t>coderes_1</t>
  </si>
  <si>
    <t>qres_1</t>
  </si>
  <si>
    <t>Crespc_1</t>
  </si>
  <si>
    <t>CsurNres_1</t>
  </si>
  <si>
    <t>Nminres_1</t>
  </si>
  <si>
    <t>eaures_1</t>
  </si>
  <si>
    <t>jultrav_1</t>
  </si>
  <si>
    <t>profres_1</t>
  </si>
  <si>
    <t>proftrav_1</t>
  </si>
  <si>
    <t>iplt0</t>
  </si>
  <si>
    <t>profsem</t>
  </si>
  <si>
    <t>densitesem</t>
  </si>
  <si>
    <t>variete</t>
  </si>
  <si>
    <t>codestade</t>
  </si>
  <si>
    <t>ilev</t>
  </si>
  <si>
    <t>iamf</t>
  </si>
  <si>
    <t>ilax</t>
  </si>
  <si>
    <t>isen</t>
  </si>
  <si>
    <t>ilan</t>
  </si>
  <si>
    <t>iflo</t>
  </si>
  <si>
    <t>idrp</t>
  </si>
  <si>
    <t>imat</t>
  </si>
  <si>
    <t>irec</t>
  </si>
  <si>
    <t>irecbutoir</t>
  </si>
  <si>
    <t>effirr</t>
  </si>
  <si>
    <t>codecalirrig</t>
  </si>
  <si>
    <t>codedateappH2O</t>
  </si>
  <si>
    <t>julapI_1</t>
  </si>
  <si>
    <t>doseI_1</t>
  </si>
  <si>
    <t>julapI_2</t>
  </si>
  <si>
    <t>doseI_2</t>
  </si>
  <si>
    <t>julapI_3</t>
  </si>
  <si>
    <t>doseI_3</t>
  </si>
  <si>
    <t>julapI_4</t>
  </si>
  <si>
    <t>doseI_4</t>
  </si>
  <si>
    <t>julapI_5</t>
  </si>
  <si>
    <t>doseI_5</t>
  </si>
  <si>
    <t>julapI_6</t>
  </si>
  <si>
    <t>doseI_6</t>
  </si>
  <si>
    <t>julapI_7</t>
  </si>
  <si>
    <t>doseI_7</t>
  </si>
  <si>
    <t>julapI_8</t>
  </si>
  <si>
    <t>doseI_8</t>
  </si>
  <si>
    <t>julapI_9</t>
  </si>
  <si>
    <t>doseI_9</t>
  </si>
  <si>
    <t>julapI_10</t>
  </si>
  <si>
    <t>doseI_10</t>
  </si>
  <si>
    <t>julapI_11</t>
  </si>
  <si>
    <t>doseI_11</t>
  </si>
  <si>
    <t>julapI_12</t>
  </si>
  <si>
    <t>doseI_12</t>
  </si>
  <si>
    <t>codlocirrig</t>
  </si>
  <si>
    <t>locirrig</t>
  </si>
  <si>
    <t>profmes</t>
  </si>
  <si>
    <t>concirr</t>
  </si>
  <si>
    <t>codedateappN</t>
  </si>
  <si>
    <t>codefracappN</t>
  </si>
  <si>
    <t>Qtot_N</t>
  </si>
  <si>
    <t>engrais_1</t>
  </si>
  <si>
    <t>julapN_1</t>
  </si>
  <si>
    <t>doseN_1</t>
  </si>
  <si>
    <t>codlocferti</t>
  </si>
  <si>
    <t>locferti</t>
  </si>
  <si>
    <t>ressuite</t>
  </si>
  <si>
    <t>codceuille</t>
  </si>
  <si>
    <t>nbceuille</t>
  </si>
  <si>
    <t>cadencerec</t>
  </si>
  <si>
    <t>codrecolte</t>
  </si>
  <si>
    <t>nbjmaxapresrecolte</t>
  </si>
  <si>
    <t>codeffeuil</t>
  </si>
  <si>
    <t>codhauteff</t>
  </si>
  <si>
    <t>codcaleffeuil</t>
  </si>
  <si>
    <t>laidebeff</t>
  </si>
  <si>
    <t>effeuil</t>
  </si>
  <si>
    <t>juleffeuil</t>
  </si>
  <si>
    <t>laieffeuil</t>
  </si>
  <si>
    <t>straw+roots</t>
  </si>
  <si>
    <t>Sta_name</t>
  </si>
  <si>
    <t>zr</t>
  </si>
  <si>
    <t>NH3ref</t>
  </si>
  <si>
    <t>latitude</t>
  </si>
  <si>
    <t>patm</t>
  </si>
  <si>
    <t>aclim</t>
  </si>
  <si>
    <t>codeetp</t>
  </si>
  <si>
    <t>alphapt</t>
  </si>
  <si>
    <t>codeclichange</t>
  </si>
  <si>
    <t>codaltitude</t>
  </si>
  <si>
    <t>altistation</t>
  </si>
  <si>
    <t>altisimul</t>
  </si>
  <si>
    <t>gradtn</t>
  </si>
  <si>
    <t>gradtx</t>
  </si>
  <si>
    <t>altinversion</t>
  </si>
  <si>
    <t>gradtninv</t>
  </si>
  <si>
    <t>cielclair</t>
  </si>
  <si>
    <t>codadret</t>
  </si>
  <si>
    <t>ombragetx</t>
  </si>
  <si>
    <t>ra</t>
  </si>
  <si>
    <t>albveg</t>
  </si>
  <si>
    <t>aangst</t>
  </si>
  <si>
    <t>bangst</t>
  </si>
  <si>
    <t>corecTrosee</t>
  </si>
  <si>
    <t>codecaltemp</t>
  </si>
  <si>
    <t>codernet</t>
  </si>
  <si>
    <t>coefdevil</t>
  </si>
  <si>
    <t>aks</t>
  </si>
  <si>
    <t>bks</t>
  </si>
  <si>
    <t>cvent</t>
  </si>
  <si>
    <t>phiv0</t>
  </si>
  <si>
    <t>coefrnet</t>
  </si>
  <si>
    <t>tsmax</t>
  </si>
  <si>
    <t>trmax</t>
  </si>
  <si>
    <t>DKmax</t>
  </si>
  <si>
    <t>Kmin</t>
  </si>
  <si>
    <t>Tmf</t>
  </si>
  <si>
    <t>SWrf</t>
  </si>
  <si>
    <t>Pns</t>
  </si>
  <si>
    <t>E</t>
  </si>
  <si>
    <t>prof</t>
  </si>
  <si>
    <t>tminseuil</t>
  </si>
  <si>
    <t>tmaxseuil</t>
  </si>
  <si>
    <t>mais.lai</t>
  </si>
  <si>
    <t>NA</t>
  </si>
  <si>
    <t>Summerside.2019</t>
  </si>
  <si>
    <t>ian</t>
  </si>
  <si>
    <t>mo</t>
  </si>
  <si>
    <t>jo</t>
  </si>
  <si>
    <t>jul</t>
  </si>
  <si>
    <t>HR(1)</t>
  </si>
  <si>
    <t>pdsfruitfrais</t>
  </si>
  <si>
    <t>Summerside_sta.xml</t>
  </si>
  <si>
    <t>concrr</t>
  </si>
  <si>
    <t>RG19</t>
  </si>
  <si>
    <t>RG19_adj</t>
  </si>
  <si>
    <t>RG19_FA</t>
  </si>
  <si>
    <t>RG19_Y100</t>
  </si>
  <si>
    <t>RG19_FA_adj</t>
  </si>
  <si>
    <t>RG19_Y100_adj</t>
  </si>
  <si>
    <t>HCCF_5</t>
  </si>
  <si>
    <t>HMINF_5</t>
  </si>
  <si>
    <t>DAF_5</t>
  </si>
  <si>
    <t>typecailloux_5</t>
  </si>
  <si>
    <t>cailloux_5</t>
  </si>
  <si>
    <t>infil_5</t>
  </si>
  <si>
    <t>epd_5</t>
  </si>
  <si>
    <t>RG19_ini.xml</t>
  </si>
  <si>
    <t>RG19_tec.xml</t>
  </si>
  <si>
    <t>RG19.obs</t>
  </si>
  <si>
    <t>RG19_FA_tec.xml</t>
  </si>
  <si>
    <t>RG19_FA.obs</t>
  </si>
  <si>
    <t>RG19_Y100_tec.xml</t>
  </si>
  <si>
    <t>RG19_Y100.obs</t>
  </si>
  <si>
    <t>RG19_adj_ini.xml</t>
  </si>
  <si>
    <t>CANSIS_CTW</t>
  </si>
  <si>
    <t>CANSIS_ARY</t>
  </si>
  <si>
    <t>CANSIS_CLO</t>
  </si>
  <si>
    <t>RG19_hills</t>
  </si>
  <si>
    <t>CTW_hills</t>
  </si>
  <si>
    <t>ARY_hills</t>
  </si>
  <si>
    <t>CLO_hills</t>
  </si>
  <si>
    <t>general</t>
  </si>
  <si>
    <t>general_ini.xml</t>
  </si>
  <si>
    <t>Harrington_sta.xml</t>
  </si>
  <si>
    <t>Harrington.2004</t>
  </si>
  <si>
    <t>general_tec.xml</t>
  </si>
  <si>
    <t>potato_RussetBurbankv10_RA_plt.xml</t>
  </si>
  <si>
    <t>SUMMERSIDE</t>
  </si>
  <si>
    <t>HARRINGTON_CDA_CS</t>
  </si>
  <si>
    <t>EAST_POINT_(AUT)</t>
  </si>
  <si>
    <t>NEW_GLASGOW</t>
  </si>
  <si>
    <t>MAPLE_PLAINS</t>
  </si>
  <si>
    <t>NORTH_CAPE</t>
  </si>
  <si>
    <t>ST._PETERS</t>
  </si>
  <si>
    <t>HR_vol_1_30</t>
  </si>
  <si>
    <t>RG19_hills4</t>
  </si>
  <si>
    <t>RG19_hills5</t>
  </si>
  <si>
    <t>CTW_hills2</t>
  </si>
  <si>
    <t>ARY_hills2</t>
  </si>
  <si>
    <t>CLO_hills2</t>
  </si>
  <si>
    <t>CTW_hills3</t>
  </si>
  <si>
    <t>ARY_hills3</t>
  </si>
  <si>
    <t>CLO_hills3</t>
  </si>
  <si>
    <t>CTW_hills4</t>
  </si>
  <si>
    <t>ARY_hills4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</si>
</sst>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  <family val="2"/>
      <charset val="1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  <charset val="1"/>
    </font>
    <font>
      <sz val="11"/>
      <name val="Calibri"/>
      <family val="2"/>
      <charset val="1"/>
    </font>
    <font>
      <b/>
      <sz val="10"/>
      <name val="Arial"/>
      <family val="2"/>
      <charset val="1"/>
    </font>
    <font>
      <sz val="11"/>
      <name val="Arial"/>
      <family val="2"/>
      <charset val="1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charset val="1"/>
    </font>
    <font>
      <b/>
      <sz val="10"/>
      <name val="Arial"/>
      <family val="2"/>
    </font>
    <font>
      <b/>
      <sz val="11"/>
      <name val="Calibri"/>
      <family val="2"/>
    </font>
    <font>
      <sz val="8"/>
      <name val="Calibri"/>
      <family val="2"/>
      <charset val="1"/>
    </font>
    <font>
      <sz val="11"/>
      <color rgb="FF000000"/>
      <name val="Calibri"/>
      <family val="2"/>
    </font>
    <font>
      <sz val="11"/>
      <name val="Calibri"/>
      <family val="2"/>
    </font>
    <font>
      <sz val="1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FFF2CC"/>
        <bgColor rgb="FFFBE5D6"/>
      </patternFill>
    </fill>
    <fill>
      <patternFill patternType="solid">
        <fgColor rgb="FFE2F0D9"/>
        <bgColor rgb="FFEDEDED"/>
      </patternFill>
    </fill>
    <fill>
      <patternFill patternType="solid">
        <fgColor rgb="FFC5E0B4"/>
        <bgColor rgb="FFBCE4E5"/>
      </patternFill>
    </fill>
    <fill>
      <patternFill patternType="solid">
        <fgColor rgb="FFA9D18E"/>
        <bgColor rgb="FFC5E0B4"/>
      </patternFill>
    </fill>
    <fill>
      <patternFill patternType="solid">
        <fgColor rgb="FFD0CECE"/>
        <bgColor rgb="FFD6DCE5"/>
      </patternFill>
    </fill>
    <fill>
      <patternFill patternType="solid">
        <fgColor rgb="FFFFE699"/>
        <bgColor rgb="FFFFF2CC"/>
      </patternFill>
    </fill>
    <fill>
      <patternFill patternType="solid">
        <fgColor rgb="FF9DC3E6"/>
        <bgColor rgb="FFB4C7E7"/>
      </patternFill>
    </fill>
    <fill>
      <patternFill patternType="solid">
        <fgColor rgb="FFF8CBAD"/>
        <bgColor rgb="FFF7C9C9"/>
      </patternFill>
    </fill>
    <fill>
      <patternFill patternType="solid">
        <fgColor rgb="FFFFD966"/>
        <bgColor rgb="FFFFE699"/>
      </patternFill>
    </fill>
    <fill>
      <patternFill patternType="solid">
        <fgColor rgb="FFF2F2F2"/>
        <bgColor rgb="FFEDEDED"/>
      </patternFill>
    </fill>
    <fill>
      <patternFill patternType="solid">
        <fgColor rgb="FFDEEBF7"/>
        <bgColor rgb="FFDAE3F3"/>
      </patternFill>
    </fill>
    <fill>
      <patternFill patternType="solid">
        <fgColor rgb="FF00B0F0"/>
        <bgColor rgb="FF008080"/>
      </patternFill>
    </fill>
    <fill>
      <patternFill patternType="solid">
        <fgColor rgb="FF9E91FD"/>
        <bgColor rgb="FF8497B0"/>
      </patternFill>
    </fill>
    <fill>
      <patternFill patternType="solid">
        <fgColor rgb="FFF88CCC"/>
        <bgColor rgb="FFF4B183"/>
      </patternFill>
    </fill>
    <fill>
      <patternFill patternType="solid">
        <fgColor rgb="FFB4C7E7"/>
        <bgColor rgb="FF9DC3E6"/>
      </patternFill>
    </fill>
    <fill>
      <patternFill patternType="solid">
        <fgColor rgb="FFF7C9C9"/>
        <bgColor rgb="FFF8CBAD"/>
      </patternFill>
    </fill>
    <fill>
      <patternFill patternType="solid">
        <fgColor rgb="FFBCE4E5"/>
        <bgColor rgb="FFD6DCE5"/>
      </patternFill>
    </fill>
    <fill>
      <patternFill patternType="solid">
        <fgColor rgb="FFFFFF00"/>
        <bgColor rgb="FFFBE5D6"/>
      </patternFill>
    </fill>
    <fill>
      <patternFill patternType="solid">
        <fgColor rgb="FFFFFF00"/>
        <bgColor rgb="FFFFF2CC"/>
      </patternFill>
    </fill>
    <fill>
      <patternFill patternType="solid">
        <fgColor rgb="FFFFFF00"/>
        <bgColor rgb="FFDAE3F3"/>
      </patternFill>
    </fill>
    <fill>
      <patternFill patternType="solid">
        <fgColor rgb="FFFFFF00"/>
        <bgColor rgb="FFF7C9C9"/>
      </patternFill>
    </fill>
    <fill>
      <patternFill patternType="solid">
        <fgColor rgb="FFFFFF00"/>
        <bgColor rgb="FFEDEDED"/>
      </patternFill>
    </fill>
    <fill>
      <patternFill patternType="solid">
        <fgColor rgb="FFFFFF00"/>
        <bgColor rgb="FFC5E0B4"/>
      </patternFill>
    </fill>
    <fill>
      <patternFill patternType="solid">
        <fgColor rgb="FFA9D18E"/>
        <bgColor rgb="FFBCE4E5"/>
      </patternFill>
    </fill>
    <fill>
      <patternFill patternType="solid">
        <fgColor rgb="FFFFFF00"/>
        <bgColor rgb="FFDEEBF7"/>
      </patternFill>
    </fill>
    <fill>
      <patternFill patternType="solid">
        <fgColor rgb="FFFFFF66"/>
        <bgColor rgb="FFFBE5D6"/>
      </patternFill>
    </fill>
    <fill>
      <patternFill patternType="solid">
        <fgColor rgb="FFFFFF66"/>
        <bgColor rgb="FFEDEDED"/>
      </patternFill>
    </fill>
    <fill>
      <patternFill patternType="solid">
        <fgColor rgb="FFFFFF00"/>
        <bgColor rgb="FFBCE4E5"/>
      </patternFill>
    </fill>
    <fill>
      <patternFill patternType="solid">
        <fgColor rgb="FFFFFF66"/>
        <bgColor rgb="FFBCE4E5"/>
      </patternFill>
    </fill>
    <fill>
      <patternFill patternType="solid">
        <fgColor rgb="FFFFFF66"/>
        <bgColor rgb="FFFFF2CC"/>
      </patternFill>
    </fill>
    <fill>
      <patternFill patternType="solid">
        <fgColor rgb="FFFFFF66"/>
        <bgColor rgb="FFFFE699"/>
      </patternFill>
    </fill>
    <fill>
      <patternFill patternType="solid">
        <fgColor rgb="FFFFFF66"/>
        <bgColor rgb="FFD6DCE5"/>
      </patternFill>
    </fill>
    <fill>
      <patternFill patternType="solid">
        <fgColor rgb="FFFFFF66"/>
        <bgColor rgb="FFB4C7E7"/>
      </patternFill>
    </fill>
    <fill>
      <patternFill patternType="solid">
        <fgColor rgb="FFFFFF66"/>
        <bgColor rgb="FFF7C9C9"/>
      </patternFill>
    </fill>
    <fill>
      <patternFill patternType="solid">
        <fgColor rgb="FFFBE5D6"/>
        <bgColor rgb="FFFFF2CC"/>
      </patternFill>
    </fill>
    <fill>
      <patternFill patternType="solid">
        <fgColor rgb="FFEDEDED"/>
        <bgColor rgb="FFF2F2F2"/>
      </patternFill>
    </fill>
    <fill>
      <patternFill patternType="solid">
        <fgColor theme="0" tint="-4.9989318521683403E-2"/>
        <bgColor rgb="FFEDEDED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/>
      <right style="hair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 style="hair">
        <color indexed="64"/>
      </left>
      <right style="hair">
        <color indexed="64"/>
      </right>
      <top style="medium">
        <color auto="1"/>
      </top>
      <bottom/>
      <diagonal/>
    </border>
    <border>
      <left/>
      <right style="thin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4" fillId="0" borderId="0"/>
  </cellStyleXfs>
  <cellXfs count="132">
    <xf numFmtId="0" fontId="0" fillId="0" borderId="0" xfId="0"/>
    <xf numFmtId="0" fontId="0" fillId="0" borderId="1" xfId="0" applyBorder="1"/>
    <xf numFmtId="0" fontId="0" fillId="3" borderId="2" xfId="0" applyFill="1" applyBorder="1" applyAlignment="1">
      <alignment horizontal="left" vertical="center"/>
    </xf>
    <xf numFmtId="0" fontId="0" fillId="4" borderId="3" xfId="0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0" fillId="5" borderId="3" xfId="0" applyFill="1" applyBorder="1" applyAlignment="1">
      <alignment horizontal="left" vertical="center"/>
    </xf>
    <xf numFmtId="0" fontId="0" fillId="5" borderId="2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4" xfId="0" applyBorder="1"/>
    <xf numFmtId="0" fontId="0" fillId="0" borderId="5" xfId="0" applyBorder="1"/>
    <xf numFmtId="0" fontId="0" fillId="6" borderId="6" xfId="0" applyFill="1" applyBorder="1" applyAlignment="1">
      <alignment horizontal="left" vertical="center"/>
    </xf>
    <xf numFmtId="0" fontId="0" fillId="7" borderId="3" xfId="0" applyFill="1" applyBorder="1" applyAlignment="1">
      <alignment horizontal="left" vertical="center"/>
    </xf>
    <xf numFmtId="0" fontId="0" fillId="7" borderId="2" xfId="0" applyFill="1" applyBorder="1" applyAlignment="1">
      <alignment horizontal="left" vertical="center"/>
    </xf>
    <xf numFmtId="2" fontId="0" fillId="0" borderId="0" xfId="0" applyNumberFormat="1"/>
    <xf numFmtId="0" fontId="0" fillId="0" borderId="0" xfId="0" applyAlignment="1">
      <alignment horizontal="center"/>
    </xf>
    <xf numFmtId="0" fontId="5" fillId="10" borderId="3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11" borderId="3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0" fontId="0" fillId="12" borderId="3" xfId="0" applyFill="1" applyBorder="1"/>
    <xf numFmtId="0" fontId="0" fillId="3" borderId="3" xfId="0" applyFill="1" applyBorder="1"/>
    <xf numFmtId="0" fontId="0" fillId="3" borderId="2" xfId="0" applyFill="1" applyBorder="1"/>
    <xf numFmtId="0" fontId="0" fillId="9" borderId="3" xfId="0" applyFill="1" applyBorder="1"/>
    <xf numFmtId="0" fontId="0" fillId="5" borderId="3" xfId="0" applyFill="1" applyBorder="1"/>
    <xf numFmtId="0" fontId="0" fillId="12" borderId="2" xfId="0" applyFill="1" applyBorder="1"/>
    <xf numFmtId="0" fontId="0" fillId="8" borderId="3" xfId="0" applyFill="1" applyBorder="1"/>
    <xf numFmtId="0" fontId="0" fillId="8" borderId="2" xfId="0" applyFill="1" applyBorder="1"/>
    <xf numFmtId="0" fontId="0" fillId="13" borderId="3" xfId="0" applyFill="1" applyBorder="1"/>
    <xf numFmtId="0" fontId="0" fillId="13" borderId="2" xfId="0" applyFill="1" applyBorder="1"/>
    <xf numFmtId="0" fontId="0" fillId="7" borderId="3" xfId="0" applyFill="1" applyBorder="1"/>
    <xf numFmtId="0" fontId="0" fillId="7" borderId="2" xfId="0" applyFill="1" applyBorder="1"/>
    <xf numFmtId="0" fontId="0" fillId="2" borderId="3" xfId="0" applyFill="1" applyBorder="1"/>
    <xf numFmtId="0" fontId="0" fillId="6" borderId="3" xfId="0" applyFill="1" applyBorder="1"/>
    <xf numFmtId="0" fontId="0" fillId="6" borderId="2" xfId="0" applyFill="1" applyBorder="1"/>
    <xf numFmtId="0" fontId="0" fillId="5" borderId="2" xfId="0" applyFill="1" applyBorder="1"/>
    <xf numFmtId="0" fontId="0" fillId="17" borderId="3" xfId="0" applyFill="1" applyBorder="1"/>
    <xf numFmtId="0" fontId="0" fillId="17" borderId="2" xfId="0" applyFill="1" applyBorder="1"/>
    <xf numFmtId="0" fontId="0" fillId="18" borderId="3" xfId="0" applyFill="1" applyBorder="1"/>
    <xf numFmtId="0" fontId="0" fillId="18" borderId="2" xfId="0" applyFill="1" applyBorder="1"/>
    <xf numFmtId="0" fontId="9" fillId="20" borderId="2" xfId="0" applyFont="1" applyFill="1" applyBorder="1"/>
    <xf numFmtId="0" fontId="9" fillId="19" borderId="3" xfId="0" applyFont="1" applyFill="1" applyBorder="1"/>
    <xf numFmtId="0" fontId="4" fillId="0" borderId="0" xfId="1"/>
    <xf numFmtId="0" fontId="9" fillId="21" borderId="3" xfId="0" applyFont="1" applyFill="1" applyBorder="1"/>
    <xf numFmtId="0" fontId="9" fillId="19" borderId="2" xfId="0" applyFont="1" applyFill="1" applyBorder="1"/>
    <xf numFmtId="0" fontId="9" fillId="20" borderId="2" xfId="0" applyFont="1" applyFill="1" applyBorder="1" applyAlignment="1">
      <alignment horizontal="left" vertical="center"/>
    </xf>
    <xf numFmtId="0" fontId="9" fillId="22" borderId="3" xfId="0" applyFont="1" applyFill="1" applyBorder="1"/>
    <xf numFmtId="0" fontId="9" fillId="22" borderId="2" xfId="0" applyFont="1" applyFill="1" applyBorder="1"/>
    <xf numFmtId="0" fontId="9" fillId="24" borderId="3" xfId="0" applyFont="1" applyFill="1" applyBorder="1"/>
    <xf numFmtId="0" fontId="9" fillId="21" borderId="2" xfId="0" applyFont="1" applyFill="1" applyBorder="1"/>
    <xf numFmtId="0" fontId="9" fillId="20" borderId="3" xfId="0" applyFont="1" applyFill="1" applyBorder="1"/>
    <xf numFmtId="0" fontId="4" fillId="0" borderId="7" xfId="1" applyBorder="1"/>
    <xf numFmtId="0" fontId="4" fillId="0" borderId="9" xfId="1" applyBorder="1"/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/>
    <xf numFmtId="0" fontId="0" fillId="0" borderId="11" xfId="0" applyBorder="1"/>
    <xf numFmtId="0" fontId="5" fillId="10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11" borderId="2" xfId="0" applyFont="1" applyFill="1" applyBorder="1" applyAlignment="1">
      <alignment horizontal="center" vertical="center" wrapText="1"/>
    </xf>
    <xf numFmtId="0" fontId="0" fillId="15" borderId="10" xfId="0" applyFill="1" applyBorder="1"/>
    <xf numFmtId="0" fontId="0" fillId="16" borderId="2" xfId="0" applyFill="1" applyBorder="1"/>
    <xf numFmtId="0" fontId="4" fillId="0" borderId="1" xfId="1" applyBorder="1"/>
    <xf numFmtId="0" fontId="0" fillId="14" borderId="6" xfId="0" applyFill="1" applyBorder="1"/>
    <xf numFmtId="0" fontId="0" fillId="4" borderId="12" xfId="0" applyFill="1" applyBorder="1"/>
    <xf numFmtId="0" fontId="9" fillId="20" borderId="10" xfId="0" applyFont="1" applyFill="1" applyBorder="1" applyAlignment="1">
      <alignment horizontal="left" vertical="center"/>
    </xf>
    <xf numFmtId="0" fontId="9" fillId="26" borderId="3" xfId="0" applyFont="1" applyFill="1" applyBorder="1" applyAlignment="1">
      <alignment horizontal="left" vertical="center"/>
    </xf>
    <xf numFmtId="0" fontId="9" fillId="26" borderId="2" xfId="0" applyFont="1" applyFill="1" applyBorder="1" applyAlignment="1">
      <alignment horizontal="left" vertical="center"/>
    </xf>
    <xf numFmtId="0" fontId="9" fillId="23" borderId="2" xfId="0" applyFont="1" applyFill="1" applyBorder="1" applyAlignment="1">
      <alignment horizontal="left" vertical="center"/>
    </xf>
    <xf numFmtId="0" fontId="0" fillId="0" borderId="8" xfId="0" applyBorder="1"/>
    <xf numFmtId="0" fontId="0" fillId="27" borderId="6" xfId="0" applyFill="1" applyBorder="1" applyAlignment="1">
      <alignment horizontal="left" vertical="center"/>
    </xf>
    <xf numFmtId="0" fontId="9" fillId="23" borderId="6" xfId="0" applyFont="1" applyFill="1" applyBorder="1" applyAlignment="1">
      <alignment horizontal="left" vertical="center"/>
    </xf>
    <xf numFmtId="0" fontId="0" fillId="25" borderId="2" xfId="0" applyFill="1" applyBorder="1" applyAlignment="1">
      <alignment horizontal="left" vertical="center"/>
    </xf>
    <xf numFmtId="0" fontId="9" fillId="21" borderId="2" xfId="0" applyFont="1" applyFill="1" applyBorder="1" applyAlignment="1">
      <alignment horizontal="left" vertical="center"/>
    </xf>
    <xf numFmtId="0" fontId="9" fillId="21" borderId="3" xfId="0" applyFont="1" applyFill="1" applyBorder="1" applyAlignment="1">
      <alignment horizontal="left" vertical="center"/>
    </xf>
    <xf numFmtId="0" fontId="9" fillId="23" borderId="3" xfId="0" applyFont="1" applyFill="1" applyBorder="1" applyAlignment="1">
      <alignment horizontal="left" vertical="center"/>
    </xf>
    <xf numFmtId="0" fontId="9" fillId="29" borderId="3" xfId="0" applyFont="1" applyFill="1" applyBorder="1" applyAlignment="1">
      <alignment horizontal="left" vertical="center"/>
    </xf>
    <xf numFmtId="0" fontId="10" fillId="31" borderId="2" xfId="0" applyFont="1" applyFill="1" applyBorder="1" applyAlignment="1">
      <alignment horizontal="left" vertical="center"/>
    </xf>
    <xf numFmtId="0" fontId="7" fillId="32" borderId="3" xfId="0" applyFont="1" applyFill="1" applyBorder="1" applyAlignment="1">
      <alignment horizontal="center" vertical="center" wrapText="1"/>
    </xf>
    <xf numFmtId="0" fontId="11" fillId="32" borderId="3" xfId="0" applyFont="1" applyFill="1" applyBorder="1" applyAlignment="1">
      <alignment horizontal="center" vertical="center" wrapText="1"/>
    </xf>
    <xf numFmtId="0" fontId="12" fillId="33" borderId="3" xfId="0" applyFont="1" applyFill="1" applyBorder="1" applyAlignment="1">
      <alignment horizontal="center" vertical="center" wrapText="1"/>
    </xf>
    <xf numFmtId="0" fontId="12" fillId="28" borderId="3" xfId="0" applyFont="1" applyFill="1" applyBorder="1" applyAlignment="1">
      <alignment horizontal="center" vertical="center" wrapText="1"/>
    </xf>
    <xf numFmtId="0" fontId="9" fillId="31" borderId="2" xfId="0" applyFont="1" applyFill="1" applyBorder="1" applyAlignment="1">
      <alignment horizontal="left" vertical="center"/>
    </xf>
    <xf numFmtId="0" fontId="9" fillId="34" borderId="3" xfId="0" applyFont="1" applyFill="1" applyBorder="1" applyAlignment="1">
      <alignment horizontal="left" vertical="center"/>
    </xf>
    <xf numFmtId="0" fontId="9" fillId="34" borderId="2" xfId="0" applyFont="1" applyFill="1" applyBorder="1" applyAlignment="1">
      <alignment horizontal="left" vertical="center"/>
    </xf>
    <xf numFmtId="0" fontId="9" fillId="31" borderId="3" xfId="0" applyFont="1" applyFill="1" applyBorder="1" applyAlignment="1">
      <alignment horizontal="left" vertical="center"/>
    </xf>
    <xf numFmtId="0" fontId="9" fillId="35" borderId="3" xfId="0" applyFont="1" applyFill="1" applyBorder="1" applyAlignment="1">
      <alignment horizontal="left" vertical="center"/>
    </xf>
    <xf numFmtId="0" fontId="9" fillId="35" borderId="2" xfId="0" applyFont="1" applyFill="1" applyBorder="1" applyAlignment="1">
      <alignment horizontal="left" vertical="center"/>
    </xf>
    <xf numFmtId="0" fontId="9" fillId="30" borderId="2" xfId="0" applyFont="1" applyFill="1" applyBorder="1" applyAlignment="1">
      <alignment horizontal="left" vertical="center"/>
    </xf>
    <xf numFmtId="2" fontId="0" fillId="0" borderId="9" xfId="0" applyNumberFormat="1" applyBorder="1"/>
    <xf numFmtId="0" fontId="0" fillId="0" borderId="4" xfId="0" applyBorder="1" applyAlignment="1">
      <alignment horizontal="center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center"/>
    </xf>
    <xf numFmtId="0" fontId="0" fillId="24" borderId="3" xfId="0" applyFill="1" applyBorder="1"/>
    <xf numFmtId="0" fontId="4" fillId="0" borderId="4" xfId="1" applyBorder="1"/>
    <xf numFmtId="0" fontId="0" fillId="12" borderId="13" xfId="0" applyFill="1" applyBorder="1"/>
    <xf numFmtId="0" fontId="11" fillId="10" borderId="3" xfId="0" applyFont="1" applyFill="1" applyBorder="1" applyAlignment="1">
      <alignment horizontal="center" vertical="center" wrapText="1"/>
    </xf>
    <xf numFmtId="164" fontId="0" fillId="0" borderId="0" xfId="0" applyNumberFormat="1"/>
    <xf numFmtId="0" fontId="14" fillId="0" borderId="5" xfId="0" applyFont="1" applyBorder="1"/>
    <xf numFmtId="0" fontId="3" fillId="0" borderId="9" xfId="1" applyFont="1" applyBorder="1"/>
    <xf numFmtId="0" fontId="0" fillId="36" borderId="2" xfId="0" applyFill="1" applyBorder="1"/>
    <xf numFmtId="0" fontId="0" fillId="37" borderId="3" xfId="0" applyFill="1" applyBorder="1"/>
    <xf numFmtId="0" fontId="0" fillId="37" borderId="2" xfId="0" applyFill="1" applyBorder="1"/>
    <xf numFmtId="0" fontId="2" fillId="0" borderId="9" xfId="1" applyFont="1" applyBorder="1"/>
    <xf numFmtId="0" fontId="0" fillId="24" borderId="2" xfId="0" applyFill="1" applyBorder="1"/>
    <xf numFmtId="0" fontId="6" fillId="38" borderId="2" xfId="0" applyFont="1" applyFill="1" applyBorder="1" applyAlignment="1">
      <alignment horizontal="center" vertical="center" wrapText="1"/>
    </xf>
    <xf numFmtId="0" fontId="6" fillId="38" borderId="3" xfId="0" applyFont="1" applyFill="1" applyBorder="1" applyAlignment="1">
      <alignment horizontal="center" vertical="center" wrapText="1"/>
    </xf>
    <xf numFmtId="2" fontId="0" fillId="0" borderId="4" xfId="0" applyNumberFormat="1" applyBorder="1" applyAlignment="1">
      <alignment horizontal="center"/>
    </xf>
    <xf numFmtId="0" fontId="6" fillId="11" borderId="10" xfId="0" applyFont="1" applyFill="1" applyBorder="1" applyAlignment="1">
      <alignment horizontal="center" vertical="center" wrapText="1"/>
    </xf>
    <xf numFmtId="0" fontId="15" fillId="38" borderId="3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left"/>
    </xf>
    <xf numFmtId="0" fontId="0" fillId="0" borderId="4" xfId="0" applyBorder="1" applyAlignment="1">
      <alignment horizontal="left"/>
    </xf>
    <xf numFmtId="0" fontId="3" fillId="0" borderId="4" xfId="1" applyFont="1" applyBorder="1"/>
    <xf numFmtId="0" fontId="1" fillId="0" borderId="9" xfId="1" applyFont="1" applyBorder="1"/>
    <xf numFmtId="0" fontId="14" fillId="0" borderId="14" xfId="0" applyFont="1" applyBorder="1" applyAlignment="1">
      <alignment horizontal="center"/>
    </xf>
    <xf numFmtId="0" fontId="14" fillId="0" borderId="15" xfId="0" applyFont="1" applyBorder="1" applyAlignment="1">
      <alignment horizontal="center"/>
    </xf>
    <xf numFmtId="0" fontId="14" fillId="39" borderId="15" xfId="0" applyFont="1" applyFill="1" applyBorder="1" applyAlignment="1">
      <alignment horizontal="center"/>
    </xf>
    <xf numFmtId="1" fontId="14" fillId="39" borderId="15" xfId="0" applyNumberFormat="1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15" xfId="0" applyFont="1" applyBorder="1" applyAlignment="1">
      <alignment horizontal="center"/>
    </xf>
    <xf numFmtId="0" fontId="0" fillId="37" borderId="0" xfId="0" applyFill="1" applyBorder="1"/>
    <xf numFmtId="0" fontId="14" fillId="0" borderId="16" xfId="0" applyFont="1" applyBorder="1" applyAlignment="1">
      <alignment horizontal="center"/>
    </xf>
    <xf numFmtId="0" fontId="14" fillId="39" borderId="0" xfId="0" applyFont="1" applyFill="1" applyAlignment="1">
      <alignment horizontal="center"/>
    </xf>
    <xf numFmtId="0" fontId="0" fillId="40" borderId="4" xfId="0" applyFill="1" applyBorder="1"/>
    <xf numFmtId="2" fontId="0" fillId="40" borderId="0" xfId="0" applyNumberFormat="1" applyFill="1" applyAlignment="1">
      <alignment horizontal="center"/>
    </xf>
    <xf numFmtId="0" fontId="0" fillId="40" borderId="0" xfId="0" applyFill="1"/>
    <xf numFmtId="0" fontId="0" fillId="40" borderId="0" xfId="0" applyFill="1" applyAlignment="1">
      <alignment horizontal="center"/>
    </xf>
    <xf numFmtId="0" fontId="8" fillId="40" borderId="0" xfId="0" applyFont="1" applyFill="1" applyAlignment="1">
      <alignment horizontal="center"/>
    </xf>
    <xf numFmtId="0" fontId="0" fillId="40" borderId="1" xfId="0" applyFill="1" applyBorder="1" applyAlignment="1">
      <alignment horizontal="center"/>
    </xf>
    <xf numFmtId="0" fontId="0" fillId="40" borderId="4" xfId="0" applyFill="1" applyBorder="1" applyAlignment="1">
      <alignment horizontal="center"/>
    </xf>
  </cellXfs>
  <cellStyles count="2">
    <cellStyle name="Normal" xfId="0" builtinId="0"/>
    <cellStyle name="Normal 2" xfId="1" xr:uid="{BE19272E-9565-4F6E-87D1-F94A7F1FA12A}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C5E0B4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D6DCE5"/>
      <rgbColor rgb="FF9E91FD"/>
      <rgbColor rgb="FF993366"/>
      <rgbColor rgb="FFFFF2CC"/>
      <rgbColor rgb="FFDEEBF7"/>
      <rgbColor rgb="FF660066"/>
      <rgbColor rgb="FFF4B183"/>
      <rgbColor rgb="FF0066CC"/>
      <rgbColor rgb="FFB4C7E7"/>
      <rgbColor rgb="FF000080"/>
      <rgbColor rgb="FFFF00FF"/>
      <rgbColor rgb="FFFBE5D6"/>
      <rgbColor rgb="FF00FFFF"/>
      <rgbColor rgb="FF800080"/>
      <rgbColor rgb="FF800000"/>
      <rgbColor rgb="FF008080"/>
      <rgbColor rgb="FF0000FF"/>
      <rgbColor rgb="FF00B0F0"/>
      <rgbColor rgb="FFDAE3F3"/>
      <rgbColor rgb="FFE2F0D9"/>
      <rgbColor rgb="FFFFE699"/>
      <rgbColor rgb="FF9DC3E6"/>
      <rgbColor rgb="FFF88CCC"/>
      <rgbColor rgb="FFD0CECE"/>
      <rgbColor rgb="FFF8CBAD"/>
      <rgbColor rgb="FF3366FF"/>
      <rgbColor rgb="FFBCE4E5"/>
      <rgbColor rgb="FFA9D18E"/>
      <rgbColor rgb="FFFFD966"/>
      <rgbColor rgb="FFF7C9C9"/>
      <rgbColor rgb="FFFF6600"/>
      <rgbColor rgb="FF666699"/>
      <rgbColor rgb="FF8497B0"/>
      <rgbColor rgb="FF003366"/>
      <rgbColor rgb="FFEDEDED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D966"/>
      <color rgb="FFFFFF66"/>
      <color rgb="FFA9D1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po\Documents\Research\Project%20-%20Irrigation%20Assessment\Data\dataforSTICS.xlsx" TargetMode="External"/><Relationship Id="rId1" Type="http://schemas.openxmlformats.org/officeDocument/2006/relationships/externalLinkPath" Target="/Users/marpo/Documents/Research/Project%20-%20Irrigation%20Assessment/Data/dataforSTIC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it"/>
      <sheetName val="sol - ABY"/>
      <sheetName val="sol - CTW"/>
      <sheetName val="sol - CLO"/>
      <sheetName val="tec"/>
      <sheetName val="sta"/>
      <sheetName val="irrigation"/>
      <sheetName val="sol - RG19"/>
      <sheetName val="sol - CB20"/>
      <sheetName val="sol - CB22"/>
      <sheetName val="sol - HL22"/>
      <sheetName val="sol - BC22"/>
      <sheetName val="obs - RG19DA"/>
      <sheetName val="obs - RG19FA"/>
      <sheetName val="obs - RG19Y100"/>
      <sheetName val="obs - CB20DA"/>
      <sheetName val="obs - CB20FA"/>
      <sheetName val="obs - CB20Y1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">
          <cell r="M5">
            <v>1.4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"/>
  <sheetViews>
    <sheetView zoomScaleNormal="100" workbookViewId="0">
      <pane xSplit="1" ySplit="1" topLeftCell="K2" activePane="bottomRight" state="frozen"/>
      <selection pane="topRight" activeCell="B1" sqref="B1"/>
      <selection pane="bottomLeft" activeCell="A2" sqref="A2"/>
      <selection pane="bottomRight" activeCell="M11" sqref="M11"/>
    </sheetView>
  </sheetViews>
  <sheetFormatPr defaultRowHeight="14.4" x14ac:dyDescent="0.3"/>
  <cols>
    <col min="1" max="1" width="43.88671875" style="1" customWidth="1"/>
    <col min="2" max="2" width="22.77734375" customWidth="1"/>
    <col min="3" max="3" width="22.77734375" style="1" customWidth="1"/>
    <col min="4" max="4" width="22.77734375" style="9" customWidth="1"/>
    <col min="5" max="5" width="14.109375" style="1" customWidth="1"/>
    <col min="6" max="6" width="16.33203125" style="1" customWidth="1"/>
    <col min="7" max="7" width="17" customWidth="1"/>
    <col min="8" max="8" width="22.77734375" style="1" customWidth="1"/>
    <col min="9" max="10" width="22.77734375" customWidth="1"/>
    <col min="11" max="11" width="22.77734375" style="1" customWidth="1"/>
    <col min="12" max="12" width="22.77734375" customWidth="1"/>
    <col min="13" max="13" width="60.109375" customWidth="1"/>
    <col min="14" max="14" width="22.77734375" style="1" customWidth="1"/>
    <col min="15" max="15" width="22.77734375" style="9" customWidth="1"/>
    <col min="16" max="17" width="22.77734375" customWidth="1"/>
    <col min="18" max="18" width="22.77734375" style="1" customWidth="1"/>
    <col min="19" max="19" width="22.77734375" style="57" customWidth="1"/>
    <col min="20" max="1025" width="10.5546875" customWidth="1"/>
  </cols>
  <sheetData>
    <row r="1" spans="1:19" s="7" customFormat="1" ht="15" thickBot="1" x14ac:dyDescent="0.35">
      <c r="A1" s="66" t="s">
        <v>0</v>
      </c>
      <c r="B1" s="67" t="s">
        <v>1</v>
      </c>
      <c r="C1" s="68" t="s">
        <v>2</v>
      </c>
      <c r="D1" s="71" t="s">
        <v>3</v>
      </c>
      <c r="E1" s="72" t="s">
        <v>4</v>
      </c>
      <c r="F1" s="74" t="s">
        <v>5</v>
      </c>
      <c r="G1" s="75" t="s">
        <v>6</v>
      </c>
      <c r="H1" s="74" t="s">
        <v>7</v>
      </c>
      <c r="I1" s="76" t="s">
        <v>8</v>
      </c>
      <c r="J1" s="76" t="s">
        <v>9</v>
      </c>
      <c r="K1" s="69" t="s">
        <v>10</v>
      </c>
      <c r="L1" s="77" t="s">
        <v>11</v>
      </c>
      <c r="M1" s="77" t="s">
        <v>12</v>
      </c>
      <c r="N1" s="4" t="s">
        <v>13</v>
      </c>
      <c r="O1" s="89" t="s">
        <v>14</v>
      </c>
      <c r="P1" s="5" t="s">
        <v>15</v>
      </c>
      <c r="Q1" s="5" t="s">
        <v>16</v>
      </c>
      <c r="R1" s="6" t="s">
        <v>17</v>
      </c>
      <c r="S1" s="73" t="s">
        <v>18</v>
      </c>
    </row>
    <row r="2" spans="1:19" x14ac:dyDescent="0.3">
      <c r="A2" s="1" t="s">
        <v>249</v>
      </c>
      <c r="B2">
        <v>105</v>
      </c>
      <c r="C2" s="1">
        <v>325</v>
      </c>
      <c r="D2" s="9" t="s">
        <v>262</v>
      </c>
      <c r="E2" s="70" t="s">
        <v>249</v>
      </c>
      <c r="F2" s="1" t="s">
        <v>247</v>
      </c>
      <c r="G2" t="s">
        <v>240</v>
      </c>
      <c r="H2" s="1" t="s">
        <v>240</v>
      </c>
      <c r="I2">
        <v>1</v>
      </c>
      <c r="J2">
        <v>1</v>
      </c>
      <c r="K2" s="1">
        <v>0</v>
      </c>
      <c r="L2" t="s">
        <v>282</v>
      </c>
      <c r="M2" s="100" t="s">
        <v>263</v>
      </c>
      <c r="N2" s="1" t="s">
        <v>238</v>
      </c>
      <c r="O2" s="99" t="s">
        <v>264</v>
      </c>
      <c r="P2" t="s">
        <v>239</v>
      </c>
      <c r="Q2" t="s">
        <v>239</v>
      </c>
      <c r="R2" t="s">
        <v>239</v>
      </c>
      <c r="S2" t="s">
        <v>239</v>
      </c>
    </row>
    <row r="3" spans="1:19" x14ac:dyDescent="0.3">
      <c r="A3" s="1" t="s">
        <v>251</v>
      </c>
      <c r="B3">
        <v>105</v>
      </c>
      <c r="C3" s="1">
        <v>325</v>
      </c>
      <c r="D3" s="9" t="s">
        <v>262</v>
      </c>
      <c r="E3" s="9" t="s">
        <v>249</v>
      </c>
      <c r="F3" s="1" t="s">
        <v>247</v>
      </c>
      <c r="G3" t="s">
        <v>240</v>
      </c>
      <c r="H3" s="1" t="s">
        <v>240</v>
      </c>
      <c r="I3">
        <v>1</v>
      </c>
      <c r="J3">
        <v>1</v>
      </c>
      <c r="K3" s="1">
        <v>0</v>
      </c>
      <c r="L3" t="s">
        <v>282</v>
      </c>
      <c r="M3" s="8" t="s">
        <v>265</v>
      </c>
      <c r="N3" s="1" t="s">
        <v>238</v>
      </c>
      <c r="O3" s="9" t="s">
        <v>266</v>
      </c>
      <c r="P3" t="s">
        <v>239</v>
      </c>
      <c r="Q3" t="s">
        <v>239</v>
      </c>
      <c r="R3" t="s">
        <v>239</v>
      </c>
      <c r="S3" t="s">
        <v>239</v>
      </c>
    </row>
    <row r="4" spans="1:19" x14ac:dyDescent="0.3">
      <c r="A4" s="1" t="s">
        <v>252</v>
      </c>
      <c r="B4">
        <v>105</v>
      </c>
      <c r="C4" s="1">
        <v>325</v>
      </c>
      <c r="D4" s="9" t="s">
        <v>262</v>
      </c>
      <c r="E4" s="9" t="s">
        <v>249</v>
      </c>
      <c r="F4" s="1" t="s">
        <v>247</v>
      </c>
      <c r="G4" t="s">
        <v>240</v>
      </c>
      <c r="H4" s="1" t="s">
        <v>240</v>
      </c>
      <c r="I4">
        <v>1</v>
      </c>
      <c r="J4">
        <v>1</v>
      </c>
      <c r="K4" s="1">
        <v>0</v>
      </c>
      <c r="L4" t="s">
        <v>282</v>
      </c>
      <c r="M4" t="s">
        <v>267</v>
      </c>
      <c r="N4" s="1" t="s">
        <v>238</v>
      </c>
      <c r="O4" s="9" t="s">
        <v>268</v>
      </c>
      <c r="P4" t="s">
        <v>239</v>
      </c>
      <c r="Q4" t="s">
        <v>239</v>
      </c>
      <c r="R4" t="s">
        <v>239</v>
      </c>
      <c r="S4" t="s">
        <v>239</v>
      </c>
    </row>
    <row r="5" spans="1:19" x14ac:dyDescent="0.3">
      <c r="A5" s="1" t="s">
        <v>250</v>
      </c>
      <c r="B5">
        <v>105</v>
      </c>
      <c r="C5" s="1">
        <v>325</v>
      </c>
      <c r="D5" s="9" t="s">
        <v>269</v>
      </c>
      <c r="E5" s="1" t="s">
        <v>250</v>
      </c>
      <c r="F5" s="1" t="s">
        <v>247</v>
      </c>
      <c r="G5" t="s">
        <v>240</v>
      </c>
      <c r="H5" s="1" t="s">
        <v>240</v>
      </c>
      <c r="I5">
        <v>1</v>
      </c>
      <c r="J5">
        <v>1</v>
      </c>
      <c r="K5" s="1">
        <v>0</v>
      </c>
      <c r="L5" t="s">
        <v>282</v>
      </c>
      <c r="M5" s="113" t="s">
        <v>263</v>
      </c>
      <c r="N5" s="1" t="s">
        <v>238</v>
      </c>
      <c r="O5" s="99" t="s">
        <v>264</v>
      </c>
      <c r="P5" t="s">
        <v>239</v>
      </c>
      <c r="Q5" t="s">
        <v>239</v>
      </c>
      <c r="R5" t="s">
        <v>239</v>
      </c>
      <c r="S5" t="s">
        <v>239</v>
      </c>
    </row>
    <row r="6" spans="1:19" x14ac:dyDescent="0.3">
      <c r="A6" s="1" t="s">
        <v>253</v>
      </c>
      <c r="B6">
        <v>105</v>
      </c>
      <c r="C6" s="1">
        <v>325</v>
      </c>
      <c r="D6" s="9" t="s">
        <v>269</v>
      </c>
      <c r="E6" s="1" t="s">
        <v>250</v>
      </c>
      <c r="F6" s="1" t="s">
        <v>247</v>
      </c>
      <c r="G6" t="s">
        <v>240</v>
      </c>
      <c r="H6" s="1" t="s">
        <v>240</v>
      </c>
      <c r="I6">
        <v>1</v>
      </c>
      <c r="J6">
        <v>1</v>
      </c>
      <c r="K6" s="1">
        <v>0</v>
      </c>
      <c r="L6" t="s">
        <v>282</v>
      </c>
      <c r="M6" s="8" t="s">
        <v>265</v>
      </c>
      <c r="N6" s="1" t="s">
        <v>238</v>
      </c>
      <c r="O6" s="9" t="s">
        <v>266</v>
      </c>
      <c r="P6" t="s">
        <v>239</v>
      </c>
      <c r="Q6" t="s">
        <v>239</v>
      </c>
      <c r="R6" t="s">
        <v>239</v>
      </c>
      <c r="S6" t="s">
        <v>239</v>
      </c>
    </row>
    <row r="7" spans="1:19" x14ac:dyDescent="0.3">
      <c r="A7" s="1" t="s">
        <v>254</v>
      </c>
      <c r="B7">
        <v>105</v>
      </c>
      <c r="C7" s="1">
        <v>325</v>
      </c>
      <c r="D7" s="9" t="s">
        <v>269</v>
      </c>
      <c r="E7" s="1" t="s">
        <v>250</v>
      </c>
      <c r="F7" s="1" t="s">
        <v>247</v>
      </c>
      <c r="G7" t="s">
        <v>240</v>
      </c>
      <c r="H7" s="1" t="s">
        <v>240</v>
      </c>
      <c r="I7">
        <v>1</v>
      </c>
      <c r="J7">
        <v>1</v>
      </c>
      <c r="K7" s="1">
        <v>0</v>
      </c>
      <c r="L7" t="s">
        <v>282</v>
      </c>
      <c r="M7" s="8" t="s">
        <v>267</v>
      </c>
      <c r="N7" s="1" t="s">
        <v>238</v>
      </c>
      <c r="O7" s="9" t="s">
        <v>268</v>
      </c>
      <c r="P7" t="s">
        <v>239</v>
      </c>
      <c r="Q7" t="s">
        <v>239</v>
      </c>
      <c r="R7" t="s">
        <v>239</v>
      </c>
      <c r="S7" t="s">
        <v>239</v>
      </c>
    </row>
    <row r="8" spans="1:19" x14ac:dyDescent="0.3">
      <c r="A8" s="1" t="s">
        <v>277</v>
      </c>
      <c r="B8">
        <v>105</v>
      </c>
      <c r="C8" s="1">
        <v>325</v>
      </c>
      <c r="D8" s="9" t="s">
        <v>278</v>
      </c>
      <c r="E8" s="1" t="s">
        <v>275</v>
      </c>
      <c r="F8" s="1" t="s">
        <v>279</v>
      </c>
      <c r="G8" t="s">
        <v>280</v>
      </c>
      <c r="H8" t="s">
        <v>280</v>
      </c>
      <c r="I8">
        <v>1</v>
      </c>
      <c r="J8">
        <v>1</v>
      </c>
      <c r="K8" s="1">
        <v>0</v>
      </c>
      <c r="L8" t="s">
        <v>282</v>
      </c>
      <c r="M8" s="8" t="s">
        <v>281</v>
      </c>
      <c r="N8" s="1" t="s">
        <v>238</v>
      </c>
      <c r="O8" s="99" t="s">
        <v>264</v>
      </c>
      <c r="P8" t="s">
        <v>239</v>
      </c>
      <c r="Q8" t="s">
        <v>239</v>
      </c>
      <c r="R8" t="s">
        <v>239</v>
      </c>
      <c r="S8" t="s">
        <v>239</v>
      </c>
    </row>
  </sheetData>
  <phoneticPr fontId="13" type="noConversion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5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6" sqref="B6"/>
    </sheetView>
  </sheetViews>
  <sheetFormatPr defaultRowHeight="14.4" x14ac:dyDescent="0.3"/>
  <cols>
    <col min="1" max="1" width="22" style="8" customWidth="1"/>
    <col min="2" max="2" width="9.88671875" style="1" customWidth="1"/>
    <col min="3" max="3" width="13" style="9" customWidth="1"/>
    <col min="4" max="4" width="10.21875" customWidth="1"/>
    <col min="5" max="5" width="15.21875" customWidth="1"/>
    <col min="6" max="6" width="11.5546875" customWidth="1"/>
    <col min="7" max="7" width="33.88671875" customWidth="1"/>
    <col min="8" max="8" width="13.6640625" customWidth="1"/>
    <col min="9" max="9" width="16.88671875" customWidth="1"/>
    <col min="10" max="10" width="18.5546875" style="1" customWidth="1"/>
    <col min="11" max="14" width="18.6640625" customWidth="1"/>
    <col min="15" max="15" width="18.6640625" style="1" customWidth="1"/>
    <col min="16" max="19" width="7.109375" customWidth="1"/>
    <col min="20" max="20" width="7.109375" style="1" customWidth="1"/>
    <col min="21" max="24" width="9.88671875" customWidth="1"/>
    <col min="25" max="25" width="9.88671875" style="1" customWidth="1"/>
    <col min="26" max="29" width="9.6640625" customWidth="1"/>
    <col min="30" max="30" width="9.6640625" style="8" customWidth="1"/>
    <col min="31" max="1014" width="10.5546875" customWidth="1"/>
    <col min="1015" max="1025" width="9.109375" customWidth="1"/>
  </cols>
  <sheetData>
    <row r="1" spans="1:30" ht="15" thickBot="1" x14ac:dyDescent="0.35">
      <c r="A1" s="83" t="s">
        <v>19</v>
      </c>
      <c r="B1" s="2" t="s">
        <v>9</v>
      </c>
      <c r="C1" s="10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  <c r="J1" s="4" t="s">
        <v>27</v>
      </c>
      <c r="K1" s="11" t="s">
        <v>28</v>
      </c>
      <c r="L1" s="11" t="s">
        <v>29</v>
      </c>
      <c r="M1" s="11" t="s">
        <v>30</v>
      </c>
      <c r="N1" s="11" t="s">
        <v>31</v>
      </c>
      <c r="O1" s="12" t="s">
        <v>32</v>
      </c>
      <c r="P1" s="84" t="s">
        <v>33</v>
      </c>
      <c r="Q1" s="84" t="s">
        <v>34</v>
      </c>
      <c r="R1" s="84" t="s">
        <v>35</v>
      </c>
      <c r="S1" s="84" t="s">
        <v>36</v>
      </c>
      <c r="T1" s="85" t="s">
        <v>37</v>
      </c>
      <c r="U1" s="86" t="s">
        <v>38</v>
      </c>
      <c r="V1" s="86" t="s">
        <v>39</v>
      </c>
      <c r="W1" s="86" t="s">
        <v>40</v>
      </c>
      <c r="X1" s="86" t="s">
        <v>41</v>
      </c>
      <c r="Y1" s="83" t="s">
        <v>42</v>
      </c>
      <c r="Z1" s="87" t="s">
        <v>43</v>
      </c>
      <c r="AA1" s="87" t="s">
        <v>44</v>
      </c>
      <c r="AB1" s="87" t="s">
        <v>45</v>
      </c>
      <c r="AC1" s="87" t="s">
        <v>46</v>
      </c>
      <c r="AD1" s="88" t="s">
        <v>47</v>
      </c>
    </row>
    <row r="2" spans="1:30" ht="15" thickBot="1" x14ac:dyDescent="0.35">
      <c r="A2" s="8" t="s">
        <v>249</v>
      </c>
      <c r="B2" s="1">
        <v>1</v>
      </c>
      <c r="C2" s="9" t="s">
        <v>48</v>
      </c>
      <c r="D2">
        <v>0</v>
      </c>
      <c r="E2">
        <v>0</v>
      </c>
      <c r="F2">
        <v>0</v>
      </c>
      <c r="G2">
        <v>2</v>
      </c>
      <c r="H2">
        <v>0</v>
      </c>
      <c r="I2">
        <v>0</v>
      </c>
      <c r="J2" s="1">
        <v>0</v>
      </c>
      <c r="K2">
        <v>0</v>
      </c>
      <c r="L2">
        <v>0</v>
      </c>
      <c r="M2">
        <v>0</v>
      </c>
      <c r="N2">
        <v>0</v>
      </c>
      <c r="O2" s="1">
        <v>0</v>
      </c>
      <c r="P2" s="13">
        <v>18.57</v>
      </c>
      <c r="Q2">
        <v>25.45</v>
      </c>
      <c r="R2" s="13">
        <v>27</v>
      </c>
      <c r="S2" s="13">
        <v>12.37</v>
      </c>
      <c r="T2" s="56">
        <v>0</v>
      </c>
      <c r="U2" s="13">
        <v>24.4</v>
      </c>
      <c r="V2">
        <f>U2*0.19</f>
        <v>4.6360000000000001</v>
      </c>
      <c r="W2" s="13">
        <v>1</v>
      </c>
      <c r="X2" s="13">
        <v>1</v>
      </c>
      <c r="Y2" s="56">
        <v>0</v>
      </c>
      <c r="Z2" s="13">
        <v>0</v>
      </c>
      <c r="AA2" s="13">
        <v>0</v>
      </c>
      <c r="AB2" s="13">
        <v>0</v>
      </c>
      <c r="AC2" s="13">
        <v>0</v>
      </c>
      <c r="AD2" s="90">
        <v>0</v>
      </c>
    </row>
    <row r="3" spans="1:30" ht="15" thickBot="1" x14ac:dyDescent="0.35">
      <c r="A3" s="8" t="s">
        <v>250</v>
      </c>
      <c r="B3" s="1">
        <v>1</v>
      </c>
      <c r="C3" s="9" t="s">
        <v>48</v>
      </c>
      <c r="D3">
        <v>0</v>
      </c>
      <c r="E3">
        <v>0</v>
      </c>
      <c r="F3">
        <v>0</v>
      </c>
      <c r="G3">
        <v>2</v>
      </c>
      <c r="H3">
        <v>0</v>
      </c>
      <c r="I3">
        <v>0</v>
      </c>
      <c r="J3" s="1">
        <v>0</v>
      </c>
      <c r="K3">
        <v>0</v>
      </c>
      <c r="L3">
        <v>0</v>
      </c>
      <c r="M3">
        <v>0</v>
      </c>
      <c r="N3">
        <v>0</v>
      </c>
      <c r="O3" s="1">
        <v>0</v>
      </c>
      <c r="P3" s="13">
        <v>13.93</v>
      </c>
      <c r="Q3">
        <v>25.45</v>
      </c>
      <c r="R3" s="13">
        <v>27</v>
      </c>
      <c r="S3" s="13">
        <v>12.37</v>
      </c>
      <c r="T3" s="56">
        <v>0</v>
      </c>
      <c r="U3" s="13">
        <v>24.4</v>
      </c>
      <c r="V3">
        <f>U3*0.19</f>
        <v>4.6360000000000001</v>
      </c>
      <c r="W3" s="13">
        <v>1</v>
      </c>
      <c r="X3" s="13">
        <v>1</v>
      </c>
      <c r="Y3" s="56">
        <v>0</v>
      </c>
      <c r="Z3" s="13">
        <v>0</v>
      </c>
      <c r="AA3" s="13">
        <v>0</v>
      </c>
      <c r="AB3" s="13">
        <v>0</v>
      </c>
      <c r="AC3" s="13">
        <v>0</v>
      </c>
      <c r="AD3" s="90">
        <v>0</v>
      </c>
    </row>
    <row r="4" spans="1:30" ht="15" thickBot="1" x14ac:dyDescent="0.35">
      <c r="A4" s="8" t="s">
        <v>273</v>
      </c>
      <c r="B4" s="1">
        <v>1</v>
      </c>
      <c r="C4" s="9" t="s">
        <v>48</v>
      </c>
      <c r="D4">
        <v>0</v>
      </c>
      <c r="E4">
        <v>0</v>
      </c>
      <c r="F4">
        <v>0</v>
      </c>
      <c r="G4">
        <v>2</v>
      </c>
      <c r="H4">
        <v>0</v>
      </c>
      <c r="I4">
        <v>0</v>
      </c>
      <c r="J4" s="1">
        <v>0</v>
      </c>
      <c r="K4">
        <v>0</v>
      </c>
      <c r="L4">
        <v>0</v>
      </c>
      <c r="M4">
        <v>0</v>
      </c>
      <c r="N4">
        <v>0</v>
      </c>
      <c r="O4" s="1">
        <v>0</v>
      </c>
      <c r="P4" s="13">
        <v>13.93</v>
      </c>
      <c r="Q4" s="13">
        <v>13.93</v>
      </c>
      <c r="R4">
        <v>25.45</v>
      </c>
      <c r="S4" s="13">
        <v>27</v>
      </c>
      <c r="T4" s="13">
        <v>12.37</v>
      </c>
      <c r="U4" s="13">
        <v>24.4</v>
      </c>
      <c r="V4">
        <f>U4*0.19</f>
        <v>4.6360000000000001</v>
      </c>
      <c r="W4" s="13">
        <v>1</v>
      </c>
      <c r="X4" s="13">
        <v>1</v>
      </c>
      <c r="Y4" s="56">
        <v>0</v>
      </c>
      <c r="Z4" s="13">
        <v>0</v>
      </c>
      <c r="AA4" s="13">
        <v>0</v>
      </c>
      <c r="AB4" s="13">
        <v>0</v>
      </c>
      <c r="AC4" s="13">
        <v>0</v>
      </c>
      <c r="AD4" s="90">
        <v>0</v>
      </c>
    </row>
    <row r="5" spans="1:30" x14ac:dyDescent="0.3">
      <c r="A5" s="8" t="s">
        <v>277</v>
      </c>
      <c r="B5" s="1">
        <v>1</v>
      </c>
      <c r="C5" s="9" t="s">
        <v>48</v>
      </c>
      <c r="D5">
        <v>0</v>
      </c>
      <c r="E5">
        <v>0</v>
      </c>
      <c r="F5">
        <v>0</v>
      </c>
      <c r="G5">
        <v>2</v>
      </c>
      <c r="H5">
        <v>0</v>
      </c>
      <c r="I5">
        <v>0</v>
      </c>
      <c r="J5" s="1">
        <v>0</v>
      </c>
      <c r="K5">
        <v>0</v>
      </c>
      <c r="L5">
        <v>0</v>
      </c>
      <c r="M5">
        <v>0</v>
      </c>
      <c r="N5">
        <v>0</v>
      </c>
      <c r="O5" s="1">
        <v>0</v>
      </c>
      <c r="P5" s="13">
        <v>0</v>
      </c>
      <c r="Q5" s="13">
        <v>0</v>
      </c>
      <c r="R5">
        <v>0</v>
      </c>
      <c r="S5" s="13">
        <v>0</v>
      </c>
      <c r="T5" s="13">
        <v>0</v>
      </c>
      <c r="U5" s="13">
        <v>24.4</v>
      </c>
      <c r="V5">
        <f>U5*0.19</f>
        <v>4.6360000000000001</v>
      </c>
      <c r="W5" s="13">
        <v>1</v>
      </c>
      <c r="X5" s="13">
        <v>1</v>
      </c>
      <c r="Y5" s="56">
        <v>0</v>
      </c>
      <c r="Z5" s="13">
        <v>0</v>
      </c>
      <c r="AA5" s="13">
        <v>0</v>
      </c>
      <c r="AB5" s="13">
        <v>0</v>
      </c>
      <c r="AC5" s="13">
        <v>0</v>
      </c>
      <c r="AD5" s="90">
        <v>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21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23" sqref="J23"/>
    </sheetView>
  </sheetViews>
  <sheetFormatPr defaultRowHeight="14.4" x14ac:dyDescent="0.3"/>
  <cols>
    <col min="1" max="1" width="14.33203125" style="8" customWidth="1"/>
    <col min="2" max="2" width="5.5546875" customWidth="1"/>
    <col min="3" max="3" width="4.5546875" customWidth="1"/>
    <col min="4" max="4" width="5.109375" customWidth="1"/>
    <col min="5" max="6" width="4.5546875" customWidth="1"/>
    <col min="7" max="8" width="9.109375" customWidth="1"/>
    <col min="9" max="9" width="5.44140625" style="14" customWidth="1"/>
    <col min="10" max="13" width="8.33203125" style="14" customWidth="1"/>
    <col min="14" max="14" width="14.6640625" style="14" customWidth="1"/>
    <col min="15" max="33" width="8.33203125" style="14" customWidth="1"/>
    <col min="34" max="34" width="8.33203125" style="55" customWidth="1"/>
    <col min="35" max="38" width="8.33203125" style="14" customWidth="1"/>
    <col min="39" max="39" width="14.6640625" style="14" customWidth="1"/>
    <col min="40" max="41" width="8.33203125" style="14" customWidth="1"/>
    <col min="42" max="42" width="8.33203125" style="55" customWidth="1"/>
    <col min="43" max="49" width="8.33203125" style="14" customWidth="1"/>
    <col min="50" max="50" width="8.33203125" style="55" customWidth="1"/>
    <col min="51" max="57" width="8.33203125" style="14" customWidth="1"/>
    <col min="58" max="58" width="8.33203125" style="55" customWidth="1"/>
    <col min="59" max="63" width="8.33203125" style="14" customWidth="1"/>
    <col min="64" max="65" width="10.5546875" style="14" customWidth="1"/>
    <col min="66" max="66" width="10.5546875" style="55" customWidth="1"/>
    <col min="67" max="67" width="8.33203125" style="14" customWidth="1"/>
    <col min="68" max="73" width="10.5546875" customWidth="1"/>
    <col min="74" max="74" width="12.5546875" style="8" customWidth="1"/>
    <col min="75" max="254" width="10.5546875" customWidth="1"/>
    <col min="255" max="255" width="9.44140625" customWidth="1"/>
    <col min="256" max="256" width="6.6640625" customWidth="1"/>
    <col min="257" max="257" width="5.5546875" customWidth="1"/>
    <col min="258" max="258" width="5.44140625" customWidth="1"/>
    <col min="259" max="259" width="5.6640625" customWidth="1"/>
    <col min="260" max="260" width="4.6640625" customWidth="1"/>
    <col min="261" max="261" width="6.88671875" customWidth="1"/>
    <col min="262" max="262" width="5.44140625" customWidth="1"/>
    <col min="263" max="263" width="4.6640625" customWidth="1"/>
    <col min="264" max="264" width="5" customWidth="1"/>
    <col min="265" max="265" width="6.21875" customWidth="1"/>
    <col min="266" max="266" width="6.44140625" customWidth="1"/>
    <col min="267" max="267" width="7.109375" customWidth="1"/>
    <col min="268" max="268" width="5.5546875" customWidth="1"/>
    <col min="269" max="269" width="5.6640625" customWidth="1"/>
    <col min="270" max="270" width="6.5546875" customWidth="1"/>
    <col min="271" max="271" width="6.44140625" customWidth="1"/>
    <col min="272" max="272" width="6" customWidth="1"/>
    <col min="273" max="273" width="5.109375" customWidth="1"/>
    <col min="274" max="274" width="6.5546875" customWidth="1"/>
    <col min="275" max="277" width="5.88671875" customWidth="1"/>
    <col min="278" max="278" width="5.6640625" customWidth="1"/>
    <col min="279" max="279" width="6.109375" customWidth="1"/>
    <col min="280" max="280" width="8.21875" customWidth="1"/>
    <col min="281" max="281" width="6.88671875" customWidth="1"/>
    <col min="282" max="282" width="6.6640625" customWidth="1"/>
    <col min="283" max="283" width="5.109375" customWidth="1"/>
    <col min="284" max="284" width="6.5546875" customWidth="1"/>
    <col min="285" max="285" width="8.109375" customWidth="1"/>
    <col min="286" max="287" width="5.88671875" customWidth="1"/>
    <col min="288" max="288" width="5.6640625" customWidth="1"/>
    <col min="289" max="289" width="6" customWidth="1"/>
    <col min="290" max="290" width="7.21875" customWidth="1"/>
    <col min="291" max="291" width="6.88671875" customWidth="1"/>
    <col min="292" max="292" width="6.6640625" customWidth="1"/>
    <col min="293" max="293" width="5.109375" customWidth="1"/>
    <col min="294" max="294" width="6.5546875" customWidth="1"/>
    <col min="295" max="295" width="8.109375" customWidth="1"/>
    <col min="296" max="297" width="5.88671875" customWidth="1"/>
    <col min="298" max="298" width="5.6640625" customWidth="1"/>
    <col min="299" max="299" width="6.44140625" customWidth="1"/>
    <col min="300" max="300" width="9.21875" customWidth="1"/>
    <col min="301" max="301" width="6.88671875" customWidth="1"/>
    <col min="302" max="302" width="6.6640625" customWidth="1"/>
    <col min="303" max="303" width="5.109375" customWidth="1"/>
    <col min="304" max="304" width="6.5546875" customWidth="1"/>
    <col min="305" max="305" width="8.109375" customWidth="1"/>
    <col min="306" max="307" width="5.88671875" customWidth="1"/>
    <col min="308" max="308" width="5.6640625" customWidth="1"/>
    <col min="309" max="309" width="7.21875" customWidth="1"/>
    <col min="310" max="310" width="9.6640625" customWidth="1"/>
    <col min="311" max="311" width="6.88671875" customWidth="1"/>
    <col min="312" max="312" width="6.6640625" customWidth="1"/>
    <col min="313" max="313" width="5.109375" customWidth="1"/>
    <col min="314" max="314" width="6.5546875" customWidth="1"/>
    <col min="315" max="315" width="8.109375" customWidth="1"/>
    <col min="316" max="317" width="5.88671875" customWidth="1"/>
    <col min="318" max="318" width="5.6640625" customWidth="1"/>
    <col min="319" max="320" width="9" customWidth="1"/>
    <col min="321" max="321" width="6.88671875" customWidth="1"/>
    <col min="322" max="322" width="6.6640625" customWidth="1"/>
    <col min="323" max="329" width="10.5546875" customWidth="1"/>
    <col min="330" max="330" width="12.5546875" customWidth="1"/>
    <col min="331" max="510" width="10.5546875" customWidth="1"/>
    <col min="511" max="511" width="9.44140625" customWidth="1"/>
    <col min="512" max="512" width="6.6640625" customWidth="1"/>
    <col min="513" max="513" width="5.5546875" customWidth="1"/>
    <col min="514" max="514" width="5.44140625" customWidth="1"/>
    <col min="515" max="515" width="5.6640625" customWidth="1"/>
    <col min="516" max="516" width="4.6640625" customWidth="1"/>
    <col min="517" max="517" width="6.88671875" customWidth="1"/>
    <col min="518" max="518" width="5.44140625" customWidth="1"/>
    <col min="519" max="519" width="4.6640625" customWidth="1"/>
    <col min="520" max="520" width="5" customWidth="1"/>
    <col min="521" max="521" width="6.21875" customWidth="1"/>
    <col min="522" max="522" width="6.44140625" customWidth="1"/>
    <col min="523" max="523" width="7.109375" customWidth="1"/>
    <col min="524" max="524" width="5.5546875" customWidth="1"/>
    <col min="525" max="525" width="5.6640625" customWidth="1"/>
    <col min="526" max="526" width="6.5546875" customWidth="1"/>
    <col min="527" max="527" width="6.44140625" customWidth="1"/>
    <col min="528" max="528" width="6" customWidth="1"/>
    <col min="529" max="529" width="5.109375" customWidth="1"/>
    <col min="530" max="530" width="6.5546875" customWidth="1"/>
    <col min="531" max="533" width="5.88671875" customWidth="1"/>
    <col min="534" max="534" width="5.6640625" customWidth="1"/>
    <col min="535" max="535" width="6.109375" customWidth="1"/>
    <col min="536" max="536" width="8.21875" customWidth="1"/>
    <col min="537" max="537" width="6.88671875" customWidth="1"/>
    <col min="538" max="538" width="6.6640625" customWidth="1"/>
    <col min="539" max="539" width="5.109375" customWidth="1"/>
    <col min="540" max="540" width="6.5546875" customWidth="1"/>
    <col min="541" max="541" width="8.109375" customWidth="1"/>
    <col min="542" max="543" width="5.88671875" customWidth="1"/>
    <col min="544" max="544" width="5.6640625" customWidth="1"/>
    <col min="545" max="545" width="6" customWidth="1"/>
    <col min="546" max="546" width="7.21875" customWidth="1"/>
    <col min="547" max="547" width="6.88671875" customWidth="1"/>
    <col min="548" max="548" width="6.6640625" customWidth="1"/>
    <col min="549" max="549" width="5.109375" customWidth="1"/>
    <col min="550" max="550" width="6.5546875" customWidth="1"/>
    <col min="551" max="551" width="8.109375" customWidth="1"/>
    <col min="552" max="553" width="5.88671875" customWidth="1"/>
    <col min="554" max="554" width="5.6640625" customWidth="1"/>
    <col min="555" max="555" width="6.44140625" customWidth="1"/>
    <col min="556" max="556" width="9.21875" customWidth="1"/>
    <col min="557" max="557" width="6.88671875" customWidth="1"/>
    <col min="558" max="558" width="6.6640625" customWidth="1"/>
    <col min="559" max="559" width="5.109375" customWidth="1"/>
    <col min="560" max="560" width="6.5546875" customWidth="1"/>
    <col min="561" max="561" width="8.109375" customWidth="1"/>
    <col min="562" max="563" width="5.88671875" customWidth="1"/>
    <col min="564" max="564" width="5.6640625" customWidth="1"/>
    <col min="565" max="565" width="7.21875" customWidth="1"/>
    <col min="566" max="566" width="9.6640625" customWidth="1"/>
    <col min="567" max="567" width="6.88671875" customWidth="1"/>
    <col min="568" max="568" width="6.6640625" customWidth="1"/>
    <col min="569" max="569" width="5.109375" customWidth="1"/>
    <col min="570" max="570" width="6.5546875" customWidth="1"/>
    <col min="571" max="571" width="8.109375" customWidth="1"/>
    <col min="572" max="573" width="5.88671875" customWidth="1"/>
    <col min="574" max="574" width="5.6640625" customWidth="1"/>
    <col min="575" max="576" width="9" customWidth="1"/>
    <col min="577" max="577" width="6.88671875" customWidth="1"/>
    <col min="578" max="578" width="6.6640625" customWidth="1"/>
    <col min="579" max="585" width="10.5546875" customWidth="1"/>
    <col min="586" max="586" width="12.5546875" customWidth="1"/>
    <col min="587" max="766" width="10.5546875" customWidth="1"/>
    <col min="767" max="767" width="9.44140625" customWidth="1"/>
    <col min="768" max="768" width="6.6640625" customWidth="1"/>
    <col min="769" max="769" width="5.5546875" customWidth="1"/>
    <col min="770" max="770" width="5.44140625" customWidth="1"/>
    <col min="771" max="771" width="5.6640625" customWidth="1"/>
    <col min="772" max="772" width="4.6640625" customWidth="1"/>
    <col min="773" max="773" width="6.88671875" customWidth="1"/>
    <col min="774" max="774" width="5.44140625" customWidth="1"/>
    <col min="775" max="775" width="4.6640625" customWidth="1"/>
    <col min="776" max="776" width="5" customWidth="1"/>
    <col min="777" max="777" width="6.21875" customWidth="1"/>
    <col min="778" max="778" width="6.44140625" customWidth="1"/>
    <col min="779" max="779" width="7.109375" customWidth="1"/>
    <col min="780" max="780" width="5.5546875" customWidth="1"/>
    <col min="781" max="781" width="5.6640625" customWidth="1"/>
    <col min="782" max="782" width="6.5546875" customWidth="1"/>
    <col min="783" max="783" width="6.44140625" customWidth="1"/>
    <col min="784" max="784" width="6" customWidth="1"/>
    <col min="785" max="785" width="5.109375" customWidth="1"/>
    <col min="786" max="786" width="6.5546875" customWidth="1"/>
    <col min="787" max="789" width="5.88671875" customWidth="1"/>
    <col min="790" max="790" width="5.6640625" customWidth="1"/>
    <col min="791" max="791" width="6.109375" customWidth="1"/>
    <col min="792" max="792" width="8.21875" customWidth="1"/>
    <col min="793" max="793" width="6.88671875" customWidth="1"/>
    <col min="794" max="794" width="6.6640625" customWidth="1"/>
    <col min="795" max="795" width="5.109375" customWidth="1"/>
    <col min="796" max="796" width="6.5546875" customWidth="1"/>
    <col min="797" max="797" width="8.109375" customWidth="1"/>
    <col min="798" max="799" width="5.88671875" customWidth="1"/>
    <col min="800" max="800" width="5.6640625" customWidth="1"/>
    <col min="801" max="801" width="6" customWidth="1"/>
    <col min="802" max="802" width="7.21875" customWidth="1"/>
    <col min="803" max="803" width="6.88671875" customWidth="1"/>
    <col min="804" max="804" width="6.6640625" customWidth="1"/>
    <col min="805" max="805" width="5.109375" customWidth="1"/>
    <col min="806" max="806" width="6.5546875" customWidth="1"/>
    <col min="807" max="807" width="8.109375" customWidth="1"/>
    <col min="808" max="809" width="5.88671875" customWidth="1"/>
    <col min="810" max="810" width="5.6640625" customWidth="1"/>
    <col min="811" max="811" width="6.44140625" customWidth="1"/>
    <col min="812" max="812" width="9.21875" customWidth="1"/>
    <col min="813" max="813" width="6.88671875" customWidth="1"/>
    <col min="814" max="814" width="6.6640625" customWidth="1"/>
    <col min="815" max="815" width="5.109375" customWidth="1"/>
    <col min="816" max="816" width="6.5546875" customWidth="1"/>
    <col min="817" max="817" width="8.109375" customWidth="1"/>
    <col min="818" max="819" width="5.88671875" customWidth="1"/>
    <col min="820" max="820" width="5.6640625" customWidth="1"/>
    <col min="821" max="821" width="7.21875" customWidth="1"/>
    <col min="822" max="822" width="9.6640625" customWidth="1"/>
    <col min="823" max="823" width="6.88671875" customWidth="1"/>
    <col min="824" max="824" width="6.6640625" customWidth="1"/>
    <col min="825" max="825" width="5.109375" customWidth="1"/>
    <col min="826" max="826" width="6.5546875" customWidth="1"/>
    <col min="827" max="827" width="8.109375" customWidth="1"/>
    <col min="828" max="829" width="5.88671875" customWidth="1"/>
    <col min="830" max="830" width="5.6640625" customWidth="1"/>
    <col min="831" max="832" width="9" customWidth="1"/>
    <col min="833" max="833" width="6.88671875" customWidth="1"/>
    <col min="834" max="834" width="6.6640625" customWidth="1"/>
    <col min="835" max="841" width="10.5546875" customWidth="1"/>
    <col min="842" max="842" width="12.5546875" customWidth="1"/>
    <col min="843" max="1018" width="10.5546875" customWidth="1"/>
    <col min="1019" max="1025" width="9.109375" customWidth="1"/>
  </cols>
  <sheetData>
    <row r="1" spans="1:74" s="18" customFormat="1" ht="29.4" thickBot="1" x14ac:dyDescent="0.35">
      <c r="A1" s="78" t="s">
        <v>49</v>
      </c>
      <c r="B1" s="79" t="s">
        <v>50</v>
      </c>
      <c r="C1" s="79" t="s">
        <v>51</v>
      </c>
      <c r="D1" s="79" t="s">
        <v>52</v>
      </c>
      <c r="E1" s="15" t="s">
        <v>53</v>
      </c>
      <c r="F1" s="80" t="s">
        <v>54</v>
      </c>
      <c r="G1" s="97" t="s">
        <v>55</v>
      </c>
      <c r="H1" s="80" t="s">
        <v>56</v>
      </c>
      <c r="I1" s="80" t="s">
        <v>57</v>
      </c>
      <c r="J1" s="15" t="s">
        <v>58</v>
      </c>
      <c r="K1" s="15" t="s">
        <v>59</v>
      </c>
      <c r="L1" s="15" t="s">
        <v>60</v>
      </c>
      <c r="M1" s="15" t="s">
        <v>61</v>
      </c>
      <c r="N1" s="15" t="s">
        <v>62</v>
      </c>
      <c r="O1" s="15" t="s">
        <v>63</v>
      </c>
      <c r="P1" s="15" t="s">
        <v>64</v>
      </c>
      <c r="Q1" s="80" t="s">
        <v>65</v>
      </c>
      <c r="R1" s="15" t="s">
        <v>66</v>
      </c>
      <c r="S1" s="15" t="s">
        <v>67</v>
      </c>
      <c r="T1" s="15" t="s">
        <v>68</v>
      </c>
      <c r="U1" s="15" t="s">
        <v>69</v>
      </c>
      <c r="V1" s="15" t="s">
        <v>70</v>
      </c>
      <c r="W1" s="15" t="s">
        <v>71</v>
      </c>
      <c r="X1" s="15" t="s">
        <v>72</v>
      </c>
      <c r="Y1" s="15" t="s">
        <v>73</v>
      </c>
      <c r="Z1" s="15" t="s">
        <v>74</v>
      </c>
      <c r="AA1" s="15" t="s">
        <v>75</v>
      </c>
      <c r="AB1" s="15" t="s">
        <v>76</v>
      </c>
      <c r="AC1" s="15" t="s">
        <v>77</v>
      </c>
      <c r="AD1" s="15" t="s">
        <v>78</v>
      </c>
      <c r="AE1" s="15" t="s">
        <v>79</v>
      </c>
      <c r="AF1" s="15" t="s">
        <v>80</v>
      </c>
      <c r="AG1" s="15" t="s">
        <v>81</v>
      </c>
      <c r="AH1" s="58" t="s">
        <v>82</v>
      </c>
      <c r="AI1" s="81" t="s">
        <v>83</v>
      </c>
      <c r="AJ1" s="81" t="s">
        <v>84</v>
      </c>
      <c r="AK1" s="81" t="s">
        <v>85</v>
      </c>
      <c r="AL1" s="81" t="s">
        <v>86</v>
      </c>
      <c r="AM1" s="16" t="s">
        <v>87</v>
      </c>
      <c r="AN1" s="16" t="s">
        <v>88</v>
      </c>
      <c r="AO1" s="16" t="s">
        <v>89</v>
      </c>
      <c r="AP1" s="59" t="s">
        <v>90</v>
      </c>
      <c r="AQ1" s="82" t="s">
        <v>91</v>
      </c>
      <c r="AR1" s="82" t="s">
        <v>92</v>
      </c>
      <c r="AS1" s="82" t="s">
        <v>93</v>
      </c>
      <c r="AT1" s="82" t="s">
        <v>94</v>
      </c>
      <c r="AU1" s="17" t="s">
        <v>95</v>
      </c>
      <c r="AV1" s="17" t="s">
        <v>96</v>
      </c>
      <c r="AW1" s="17" t="s">
        <v>97</v>
      </c>
      <c r="AX1" s="60" t="s">
        <v>98</v>
      </c>
      <c r="AY1" s="81" t="s">
        <v>99</v>
      </c>
      <c r="AZ1" s="81" t="s">
        <v>100</v>
      </c>
      <c r="BA1" s="81" t="s">
        <v>101</v>
      </c>
      <c r="BB1" s="81" t="s">
        <v>102</v>
      </c>
      <c r="BC1" s="16" t="s">
        <v>103</v>
      </c>
      <c r="BD1" s="16" t="s">
        <v>104</v>
      </c>
      <c r="BE1" s="16" t="s">
        <v>105</v>
      </c>
      <c r="BF1" s="59" t="s">
        <v>106</v>
      </c>
      <c r="BG1" s="82" t="s">
        <v>107</v>
      </c>
      <c r="BH1" s="82" t="s">
        <v>108</v>
      </c>
      <c r="BI1" s="82" t="s">
        <v>109</v>
      </c>
      <c r="BJ1" s="82" t="s">
        <v>110</v>
      </c>
      <c r="BK1" s="17" t="s">
        <v>111</v>
      </c>
      <c r="BL1" s="17" t="s">
        <v>112</v>
      </c>
      <c r="BM1" s="17" t="s">
        <v>113</v>
      </c>
      <c r="BN1" s="109" t="s">
        <v>114</v>
      </c>
      <c r="BO1" s="107" t="s">
        <v>115</v>
      </c>
      <c r="BP1" s="110" t="s">
        <v>255</v>
      </c>
      <c r="BQ1" s="110" t="s">
        <v>256</v>
      </c>
      <c r="BR1" s="110" t="s">
        <v>257</v>
      </c>
      <c r="BS1" s="107" t="s">
        <v>258</v>
      </c>
      <c r="BT1" s="107" t="s">
        <v>259</v>
      </c>
      <c r="BU1" s="107" t="s">
        <v>260</v>
      </c>
      <c r="BV1" s="106" t="s">
        <v>261</v>
      </c>
    </row>
    <row r="2" spans="1:74" s="19" customFormat="1" x14ac:dyDescent="0.3">
      <c r="A2" s="111" t="s">
        <v>249</v>
      </c>
      <c r="B2" s="19">
        <v>10</v>
      </c>
      <c r="C2" s="19">
        <v>0.13200000000000001</v>
      </c>
      <c r="D2" s="14">
        <v>20</v>
      </c>
      <c r="E2" s="19">
        <v>0</v>
      </c>
      <c r="F2" s="19">
        <v>6.6</v>
      </c>
      <c r="G2" s="14">
        <v>0.01</v>
      </c>
      <c r="H2" s="20">
        <v>0.25</v>
      </c>
      <c r="I2" s="19">
        <v>2</v>
      </c>
      <c r="J2" s="19">
        <v>0</v>
      </c>
      <c r="K2" s="19">
        <v>200</v>
      </c>
      <c r="L2" s="19">
        <v>50</v>
      </c>
      <c r="M2" s="19">
        <v>0.5</v>
      </c>
      <c r="N2" s="19">
        <v>60</v>
      </c>
      <c r="O2" s="19">
        <v>5</v>
      </c>
      <c r="P2" s="19">
        <v>0.01</v>
      </c>
      <c r="Q2" s="19">
        <v>11.25</v>
      </c>
      <c r="R2" s="19">
        <v>0.65</v>
      </c>
      <c r="S2" s="19">
        <v>0.33</v>
      </c>
      <c r="T2" s="19">
        <v>2</v>
      </c>
      <c r="U2" s="19">
        <v>2</v>
      </c>
      <c r="V2" s="19">
        <v>2</v>
      </c>
      <c r="W2" s="19">
        <v>2</v>
      </c>
      <c r="X2" s="19">
        <v>10</v>
      </c>
      <c r="Y2" s="19">
        <v>0</v>
      </c>
      <c r="Z2" s="19">
        <v>0</v>
      </c>
      <c r="AA2" s="19">
        <v>0</v>
      </c>
      <c r="AB2" s="19">
        <v>2</v>
      </c>
      <c r="AC2" s="19">
        <v>1</v>
      </c>
      <c r="AD2" s="19">
        <v>10</v>
      </c>
      <c r="AE2" s="19">
        <v>2</v>
      </c>
      <c r="AF2" s="19">
        <v>2</v>
      </c>
      <c r="AG2" s="19">
        <v>20</v>
      </c>
      <c r="AH2" s="54">
        <v>2</v>
      </c>
      <c r="AI2" s="93">
        <v>20</v>
      </c>
      <c r="AJ2" s="19">
        <v>18.57</v>
      </c>
      <c r="AK2" s="19">
        <v>4.6399999999999997</v>
      </c>
      <c r="AL2" s="19">
        <v>1.4</v>
      </c>
      <c r="AM2" s="14">
        <v>5</v>
      </c>
      <c r="AN2" s="14">
        <v>0</v>
      </c>
      <c r="AO2" s="14">
        <v>50</v>
      </c>
      <c r="AP2" s="55">
        <v>10</v>
      </c>
      <c r="AQ2" s="93">
        <v>10</v>
      </c>
      <c r="AR2" s="14">
        <v>25.45</v>
      </c>
      <c r="AS2" s="14">
        <v>8.18</v>
      </c>
      <c r="AT2" s="19">
        <v>1.1000000000000001</v>
      </c>
      <c r="AU2" s="19">
        <v>1</v>
      </c>
      <c r="AV2" s="19">
        <v>0</v>
      </c>
      <c r="AW2" s="19">
        <v>50</v>
      </c>
      <c r="AX2" s="54">
        <v>10</v>
      </c>
      <c r="AY2" s="93">
        <v>30</v>
      </c>
      <c r="AZ2" s="19">
        <v>27</v>
      </c>
      <c r="BA2" s="19">
        <v>6.0119999999999996</v>
      </c>
      <c r="BB2" s="19">
        <v>1.33</v>
      </c>
      <c r="BC2" s="14">
        <v>1</v>
      </c>
      <c r="BD2" s="14">
        <v>0</v>
      </c>
      <c r="BE2" s="14">
        <v>50</v>
      </c>
      <c r="BF2" s="55">
        <v>10</v>
      </c>
      <c r="BG2" s="93">
        <v>40</v>
      </c>
      <c r="BH2" s="19">
        <v>12.37</v>
      </c>
      <c r="BI2" s="14">
        <v>4.84</v>
      </c>
      <c r="BJ2" s="19">
        <v>1.86</v>
      </c>
      <c r="BK2" s="19">
        <v>1</v>
      </c>
      <c r="BL2" s="19">
        <v>0</v>
      </c>
      <c r="BM2" s="19">
        <v>50</v>
      </c>
      <c r="BN2" s="54">
        <v>10</v>
      </c>
      <c r="BO2" s="19">
        <v>0</v>
      </c>
      <c r="BP2" s="19">
        <v>0</v>
      </c>
      <c r="BQ2" s="19">
        <v>0</v>
      </c>
      <c r="BR2" s="19">
        <v>0</v>
      </c>
      <c r="BS2" s="19">
        <v>0</v>
      </c>
      <c r="BT2" s="19">
        <v>0</v>
      </c>
      <c r="BU2" s="19">
        <v>0</v>
      </c>
      <c r="BV2" s="108">
        <v>0</v>
      </c>
    </row>
    <row r="3" spans="1:74" s="14" customFormat="1" x14ac:dyDescent="0.3">
      <c r="A3" s="112" t="s">
        <v>250</v>
      </c>
      <c r="B3" s="19">
        <v>10</v>
      </c>
      <c r="C3" s="19">
        <v>0.13200000000000001</v>
      </c>
      <c r="D3" s="14">
        <v>20</v>
      </c>
      <c r="E3" s="19">
        <v>0</v>
      </c>
      <c r="F3" s="19">
        <v>6.6</v>
      </c>
      <c r="G3" s="14">
        <v>0.01</v>
      </c>
      <c r="H3" s="20">
        <v>0.25</v>
      </c>
      <c r="I3" s="19">
        <v>2</v>
      </c>
      <c r="J3" s="19">
        <v>0</v>
      </c>
      <c r="K3" s="19">
        <v>200</v>
      </c>
      <c r="L3" s="19">
        <v>50</v>
      </c>
      <c r="M3" s="19">
        <v>0.5</v>
      </c>
      <c r="N3" s="19">
        <v>60</v>
      </c>
      <c r="O3" s="19">
        <v>5</v>
      </c>
      <c r="P3" s="19">
        <v>0.01</v>
      </c>
      <c r="Q3" s="19">
        <v>11.25</v>
      </c>
      <c r="R3" s="19">
        <v>0.65</v>
      </c>
      <c r="S3" s="19">
        <v>0.33</v>
      </c>
      <c r="T3" s="19">
        <v>2</v>
      </c>
      <c r="U3" s="19">
        <v>2</v>
      </c>
      <c r="V3" s="19">
        <v>2</v>
      </c>
      <c r="W3" s="19">
        <v>2</v>
      </c>
      <c r="X3" s="19">
        <v>10</v>
      </c>
      <c r="Y3" s="19">
        <v>0</v>
      </c>
      <c r="Z3" s="19">
        <v>0</v>
      </c>
      <c r="AA3" s="19">
        <v>0</v>
      </c>
      <c r="AB3" s="19">
        <v>2</v>
      </c>
      <c r="AC3" s="19">
        <v>1</v>
      </c>
      <c r="AD3" s="19">
        <v>10</v>
      </c>
      <c r="AE3" s="19">
        <v>2</v>
      </c>
      <c r="AF3" s="19">
        <v>2</v>
      </c>
      <c r="AG3" s="19">
        <v>20</v>
      </c>
      <c r="AH3" s="54">
        <v>2</v>
      </c>
      <c r="AI3" s="93">
        <v>20</v>
      </c>
      <c r="AJ3" s="14">
        <v>13.93</v>
      </c>
      <c r="AK3" s="14">
        <v>3.48</v>
      </c>
      <c r="AL3" s="19">
        <v>1.4</v>
      </c>
      <c r="AM3" s="14">
        <v>5</v>
      </c>
      <c r="AN3" s="14">
        <v>0</v>
      </c>
      <c r="AO3" s="14">
        <v>50</v>
      </c>
      <c r="AP3" s="55">
        <v>10</v>
      </c>
      <c r="AQ3" s="93">
        <v>10</v>
      </c>
      <c r="AR3" s="14">
        <v>25.45</v>
      </c>
      <c r="AS3" s="14">
        <v>8.18</v>
      </c>
      <c r="AT3" s="19">
        <v>1.1000000000000001</v>
      </c>
      <c r="AU3" s="19">
        <v>1</v>
      </c>
      <c r="AV3" s="19">
        <v>0</v>
      </c>
      <c r="AW3" s="19">
        <v>50</v>
      </c>
      <c r="AX3" s="54">
        <v>10</v>
      </c>
      <c r="AY3" s="93">
        <v>30</v>
      </c>
      <c r="AZ3" s="19">
        <v>27</v>
      </c>
      <c r="BA3" s="19">
        <v>6.0119999999999996</v>
      </c>
      <c r="BB3" s="19">
        <v>1.33</v>
      </c>
      <c r="BC3" s="14">
        <v>1</v>
      </c>
      <c r="BD3" s="14">
        <v>0</v>
      </c>
      <c r="BE3" s="14">
        <v>50</v>
      </c>
      <c r="BF3" s="55">
        <v>10</v>
      </c>
      <c r="BG3" s="93">
        <v>40</v>
      </c>
      <c r="BH3" s="19">
        <v>12.37</v>
      </c>
      <c r="BI3" s="14">
        <v>4.84</v>
      </c>
      <c r="BJ3" s="19">
        <v>1.86</v>
      </c>
      <c r="BK3" s="19">
        <v>1</v>
      </c>
      <c r="BL3" s="19">
        <v>0</v>
      </c>
      <c r="BM3" s="19">
        <v>50</v>
      </c>
      <c r="BN3" s="54">
        <v>10</v>
      </c>
      <c r="BO3" s="19">
        <v>0</v>
      </c>
      <c r="BP3" s="19">
        <v>0</v>
      </c>
      <c r="BQ3" s="19">
        <v>0</v>
      </c>
      <c r="BR3" s="19">
        <v>0</v>
      </c>
      <c r="BS3" s="19">
        <v>0</v>
      </c>
      <c r="BT3" s="19">
        <v>0</v>
      </c>
      <c r="BU3" s="19">
        <v>0</v>
      </c>
      <c r="BV3" s="91">
        <v>0</v>
      </c>
    </row>
    <row r="4" spans="1:74" x14ac:dyDescent="0.3">
      <c r="A4" s="8" t="s">
        <v>273</v>
      </c>
      <c r="B4" s="19">
        <v>10</v>
      </c>
      <c r="C4">
        <v>0.13200000000000001</v>
      </c>
      <c r="D4" s="14">
        <v>20</v>
      </c>
      <c r="E4" s="19">
        <v>0</v>
      </c>
      <c r="F4" s="19">
        <v>6.6</v>
      </c>
      <c r="G4" s="14">
        <v>0.01</v>
      </c>
      <c r="H4" s="20">
        <v>0.25</v>
      </c>
      <c r="I4" s="19">
        <v>6.6</v>
      </c>
      <c r="J4" s="19">
        <v>0</v>
      </c>
      <c r="K4" s="19">
        <v>200</v>
      </c>
      <c r="L4" s="19">
        <v>50</v>
      </c>
      <c r="M4" s="19">
        <v>0.5</v>
      </c>
      <c r="N4" s="14">
        <v>79</v>
      </c>
      <c r="O4" s="19">
        <v>1</v>
      </c>
      <c r="P4" s="19">
        <v>0.01</v>
      </c>
      <c r="Q4" s="19">
        <v>11.25</v>
      </c>
      <c r="R4" s="19">
        <v>0.65</v>
      </c>
      <c r="S4" s="19">
        <v>0.33</v>
      </c>
      <c r="T4" s="19">
        <v>1</v>
      </c>
      <c r="U4" s="19">
        <v>2</v>
      </c>
      <c r="V4" s="19">
        <v>2</v>
      </c>
      <c r="W4" s="19">
        <v>2</v>
      </c>
      <c r="X4" s="19">
        <v>10</v>
      </c>
      <c r="Y4" s="19">
        <v>0</v>
      </c>
      <c r="Z4" s="19">
        <v>0</v>
      </c>
      <c r="AA4" s="19">
        <v>0</v>
      </c>
      <c r="AB4" s="19">
        <v>2</v>
      </c>
      <c r="AC4" s="19">
        <v>1</v>
      </c>
      <c r="AD4" s="19">
        <v>10</v>
      </c>
      <c r="AE4" s="19">
        <v>2</v>
      </c>
      <c r="AF4" s="19">
        <v>2</v>
      </c>
      <c r="AG4" s="19">
        <v>20</v>
      </c>
      <c r="AH4" s="55">
        <v>2</v>
      </c>
      <c r="AI4" s="14">
        <v>20</v>
      </c>
      <c r="AJ4" s="14">
        <v>13.93</v>
      </c>
      <c r="AK4" s="14">
        <v>3.48</v>
      </c>
      <c r="AL4" s="19">
        <v>1.4</v>
      </c>
      <c r="AM4" s="14">
        <v>5</v>
      </c>
      <c r="AN4" s="14">
        <v>0</v>
      </c>
      <c r="AO4" s="14">
        <v>50</v>
      </c>
      <c r="AP4" s="55">
        <v>10</v>
      </c>
      <c r="AQ4" s="14">
        <v>30</v>
      </c>
      <c r="AR4" s="14">
        <v>13.93</v>
      </c>
      <c r="AS4" s="14">
        <v>3.48</v>
      </c>
      <c r="AT4" s="19">
        <v>1.4</v>
      </c>
      <c r="AU4" s="14">
        <v>1</v>
      </c>
      <c r="AV4" s="14">
        <v>0</v>
      </c>
      <c r="AW4" s="14">
        <v>50</v>
      </c>
      <c r="AX4" s="55">
        <v>10</v>
      </c>
      <c r="AY4" s="93">
        <v>10</v>
      </c>
      <c r="AZ4" s="14">
        <v>25.45</v>
      </c>
      <c r="BA4" s="14">
        <v>8.18</v>
      </c>
      <c r="BB4" s="19">
        <v>1.1000000000000001</v>
      </c>
      <c r="BC4" s="14">
        <v>1</v>
      </c>
      <c r="BD4" s="14">
        <v>0</v>
      </c>
      <c r="BE4" s="14">
        <v>50</v>
      </c>
      <c r="BF4" s="55">
        <v>10</v>
      </c>
      <c r="BG4" s="93">
        <v>30</v>
      </c>
      <c r="BH4" s="19">
        <v>27</v>
      </c>
      <c r="BI4" s="19">
        <v>6.0119999999999996</v>
      </c>
      <c r="BJ4" s="19">
        <v>1.33</v>
      </c>
      <c r="BK4" s="14">
        <v>1</v>
      </c>
      <c r="BL4" s="14">
        <v>0</v>
      </c>
      <c r="BM4" s="14">
        <v>50</v>
      </c>
      <c r="BN4" s="55">
        <v>10</v>
      </c>
      <c r="BO4" s="93">
        <v>40</v>
      </c>
      <c r="BP4" s="19">
        <v>12.37</v>
      </c>
      <c r="BQ4" s="14">
        <v>4.84</v>
      </c>
      <c r="BR4" s="19">
        <v>1.86</v>
      </c>
      <c r="BS4" s="19">
        <v>1</v>
      </c>
      <c r="BT4" s="19">
        <v>0</v>
      </c>
      <c r="BU4" s="19">
        <v>50</v>
      </c>
      <c r="BV4" s="91">
        <v>10</v>
      </c>
    </row>
    <row r="5" spans="1:74" s="127" customFormat="1" x14ac:dyDescent="0.3">
      <c r="A5" s="125" t="s">
        <v>291</v>
      </c>
      <c r="B5" s="126">
        <v>10</v>
      </c>
      <c r="C5" s="127">
        <v>0.13200000000000001</v>
      </c>
      <c r="D5" s="128">
        <v>20</v>
      </c>
      <c r="E5" s="126">
        <v>0</v>
      </c>
      <c r="F5" s="126">
        <v>6.6</v>
      </c>
      <c r="G5" s="128">
        <v>0.01</v>
      </c>
      <c r="H5" s="129">
        <v>0.25</v>
      </c>
      <c r="I5" s="128">
        <v>7.8006613657814396</v>
      </c>
      <c r="J5" s="126">
        <v>0</v>
      </c>
      <c r="K5" s="126">
        <v>200</v>
      </c>
      <c r="L5" s="126">
        <v>50</v>
      </c>
      <c r="M5" s="126">
        <v>0.5</v>
      </c>
      <c r="N5" s="128">
        <v>79.011264919842702</v>
      </c>
      <c r="O5" s="128">
        <v>1</v>
      </c>
      <c r="P5" s="126">
        <v>0.01</v>
      </c>
      <c r="Q5" s="126">
        <v>11.25</v>
      </c>
      <c r="R5" s="126">
        <v>0.65</v>
      </c>
      <c r="S5" s="126">
        <v>0.33</v>
      </c>
      <c r="T5" s="126">
        <v>1</v>
      </c>
      <c r="U5" s="126">
        <v>2</v>
      </c>
      <c r="V5" s="126">
        <v>2</v>
      </c>
      <c r="W5" s="126">
        <v>2</v>
      </c>
      <c r="X5" s="126">
        <v>10</v>
      </c>
      <c r="Y5" s="126">
        <v>0</v>
      </c>
      <c r="Z5" s="126">
        <v>0</v>
      </c>
      <c r="AA5" s="126">
        <v>0</v>
      </c>
      <c r="AB5" s="126">
        <v>2</v>
      </c>
      <c r="AC5" s="126">
        <v>1</v>
      </c>
      <c r="AD5" s="126">
        <v>10</v>
      </c>
      <c r="AE5" s="126">
        <v>2</v>
      </c>
      <c r="AF5" s="126">
        <v>2</v>
      </c>
      <c r="AG5" s="126">
        <v>20</v>
      </c>
      <c r="AH5" s="130">
        <v>2</v>
      </c>
      <c r="AI5" s="128">
        <v>20</v>
      </c>
      <c r="AJ5" s="128">
        <v>16.25</v>
      </c>
      <c r="AK5" s="128">
        <v>4.05</v>
      </c>
      <c r="AL5" s="128">
        <v>1.2</v>
      </c>
      <c r="AM5" s="128">
        <v>5</v>
      </c>
      <c r="AN5" s="128">
        <v>0</v>
      </c>
      <c r="AO5" s="128">
        <v>50</v>
      </c>
      <c r="AP5" s="130">
        <v>10</v>
      </c>
      <c r="AQ5" s="128">
        <v>30</v>
      </c>
      <c r="AR5" s="128">
        <v>16.25</v>
      </c>
      <c r="AS5" s="128">
        <v>4.05</v>
      </c>
      <c r="AT5" s="128">
        <v>1.2</v>
      </c>
      <c r="AU5" s="128">
        <v>5</v>
      </c>
      <c r="AV5" s="128">
        <v>0</v>
      </c>
      <c r="AW5" s="128">
        <v>50</v>
      </c>
      <c r="AX5" s="130">
        <v>10</v>
      </c>
      <c r="AY5" s="128">
        <v>10</v>
      </c>
      <c r="AZ5" s="128">
        <v>25.45</v>
      </c>
      <c r="BA5" s="128">
        <v>8.18</v>
      </c>
      <c r="BB5" s="126">
        <v>1.1000000000000001</v>
      </c>
      <c r="BC5" s="128">
        <v>5</v>
      </c>
      <c r="BD5" s="128">
        <v>24</v>
      </c>
      <c r="BE5" s="128">
        <v>50</v>
      </c>
      <c r="BF5" s="130">
        <v>10</v>
      </c>
      <c r="BG5" s="128">
        <v>30</v>
      </c>
      <c r="BH5" s="128">
        <v>27.1</v>
      </c>
      <c r="BI5" s="128">
        <v>6.01</v>
      </c>
      <c r="BJ5" s="128">
        <v>1.33</v>
      </c>
      <c r="BK5" s="128">
        <v>5</v>
      </c>
      <c r="BL5" s="128">
        <v>20</v>
      </c>
      <c r="BM5" s="128">
        <v>50</v>
      </c>
      <c r="BN5" s="130">
        <v>10</v>
      </c>
      <c r="BO5" s="128">
        <v>10</v>
      </c>
      <c r="BP5" s="126">
        <v>12.37</v>
      </c>
      <c r="BQ5" s="128">
        <v>4.84</v>
      </c>
      <c r="BR5" s="126">
        <v>1.86</v>
      </c>
      <c r="BS5" s="126">
        <v>5</v>
      </c>
      <c r="BT5" s="126">
        <v>23</v>
      </c>
      <c r="BU5" s="126">
        <v>50</v>
      </c>
      <c r="BV5" s="131">
        <v>10</v>
      </c>
    </row>
    <row r="6" spans="1:74" x14ac:dyDescent="0.3">
      <c r="A6" s="8" t="s">
        <v>292</v>
      </c>
      <c r="B6" s="19">
        <v>10</v>
      </c>
      <c r="C6">
        <v>0.13200000000000001</v>
      </c>
      <c r="D6" s="14">
        <v>20</v>
      </c>
      <c r="E6" s="19">
        <v>0</v>
      </c>
      <c r="F6" s="19">
        <v>6.6</v>
      </c>
      <c r="G6" s="14">
        <v>0.01</v>
      </c>
      <c r="H6" s="20">
        <v>0.25</v>
      </c>
      <c r="I6" s="14">
        <v>7.0992354744618504</v>
      </c>
      <c r="J6" s="19">
        <v>0</v>
      </c>
      <c r="K6" s="19">
        <v>200</v>
      </c>
      <c r="L6" s="19">
        <v>50</v>
      </c>
      <c r="M6" s="19">
        <v>0.5</v>
      </c>
      <c r="N6" s="14">
        <v>26.405651895803299</v>
      </c>
      <c r="O6" s="14">
        <v>8.1852359531650194</v>
      </c>
      <c r="P6" s="19">
        <v>0.01</v>
      </c>
      <c r="Q6" s="19">
        <v>11.25</v>
      </c>
      <c r="R6" s="19">
        <v>0.65</v>
      </c>
      <c r="S6" s="19">
        <v>0.33</v>
      </c>
      <c r="T6" s="19">
        <v>1</v>
      </c>
      <c r="U6" s="19">
        <v>2</v>
      </c>
      <c r="V6" s="19">
        <v>2</v>
      </c>
      <c r="W6" s="19">
        <v>2</v>
      </c>
      <c r="X6" s="19">
        <v>10</v>
      </c>
      <c r="Y6" s="19">
        <v>0</v>
      </c>
      <c r="Z6" s="19">
        <v>0</v>
      </c>
      <c r="AA6" s="19">
        <v>0</v>
      </c>
      <c r="AB6" s="19">
        <v>2</v>
      </c>
      <c r="AC6" s="19">
        <v>1</v>
      </c>
      <c r="AD6" s="19">
        <v>10</v>
      </c>
      <c r="AE6" s="19">
        <v>2</v>
      </c>
      <c r="AF6" s="19">
        <v>2</v>
      </c>
      <c r="AG6" s="19">
        <v>20</v>
      </c>
      <c r="AH6" s="55">
        <v>2</v>
      </c>
      <c r="AI6" s="14">
        <v>20</v>
      </c>
      <c r="AJ6" s="14">
        <v>21.7</v>
      </c>
      <c r="AK6" s="14">
        <v>5.4</v>
      </c>
      <c r="AL6" s="14">
        <v>1.2</v>
      </c>
      <c r="AM6" s="14">
        <v>5</v>
      </c>
      <c r="AN6" s="14">
        <v>0</v>
      </c>
      <c r="AO6" s="14">
        <v>50</v>
      </c>
      <c r="AP6" s="55">
        <v>10</v>
      </c>
      <c r="AQ6" s="14">
        <v>30</v>
      </c>
      <c r="AR6" s="14">
        <v>21.7</v>
      </c>
      <c r="AS6" s="14">
        <v>5.4</v>
      </c>
      <c r="AT6" s="14">
        <v>1.2</v>
      </c>
      <c r="AU6" s="14">
        <v>5</v>
      </c>
      <c r="AV6" s="14">
        <v>0</v>
      </c>
      <c r="AW6" s="14">
        <v>50</v>
      </c>
      <c r="AX6" s="55">
        <v>10</v>
      </c>
      <c r="AY6" s="14">
        <v>10</v>
      </c>
      <c r="AZ6" s="14">
        <v>25.45</v>
      </c>
      <c r="BA6" s="14">
        <v>8.18</v>
      </c>
      <c r="BB6" s="19">
        <v>1.1000000000000001</v>
      </c>
      <c r="BC6" s="14">
        <v>5</v>
      </c>
      <c r="BD6" s="14">
        <v>24</v>
      </c>
      <c r="BE6" s="14">
        <v>50</v>
      </c>
      <c r="BF6" s="55">
        <v>10</v>
      </c>
      <c r="BG6" s="14">
        <v>30</v>
      </c>
      <c r="BH6" s="14">
        <v>27.1</v>
      </c>
      <c r="BI6" s="14">
        <v>6.01</v>
      </c>
      <c r="BJ6" s="14">
        <v>1.33</v>
      </c>
      <c r="BK6" s="14">
        <v>5</v>
      </c>
      <c r="BL6" s="14">
        <v>20</v>
      </c>
      <c r="BM6" s="14">
        <v>50</v>
      </c>
      <c r="BN6" s="55">
        <v>10</v>
      </c>
      <c r="BO6" s="14">
        <v>10</v>
      </c>
      <c r="BP6" s="19">
        <v>12.37</v>
      </c>
      <c r="BQ6" s="14">
        <v>4.84</v>
      </c>
      <c r="BR6" s="19">
        <v>1.86</v>
      </c>
      <c r="BS6" s="19">
        <v>5</v>
      </c>
      <c r="BT6" s="19">
        <v>23</v>
      </c>
      <c r="BU6" s="19">
        <v>50</v>
      </c>
      <c r="BV6" s="91">
        <v>10</v>
      </c>
    </row>
    <row r="7" spans="1:74" x14ac:dyDescent="0.3">
      <c r="A7" s="8" t="s">
        <v>270</v>
      </c>
      <c r="B7">
        <v>11</v>
      </c>
      <c r="C7">
        <v>1.66</v>
      </c>
      <c r="D7" s="14">
        <v>20</v>
      </c>
      <c r="E7" s="19">
        <v>0</v>
      </c>
      <c r="F7">
        <v>5.7</v>
      </c>
      <c r="G7" s="14">
        <v>0.01</v>
      </c>
      <c r="H7" s="20">
        <v>0.25</v>
      </c>
      <c r="I7" s="19">
        <v>8.9</v>
      </c>
      <c r="J7" s="19">
        <v>0</v>
      </c>
      <c r="K7" s="19">
        <v>200</v>
      </c>
      <c r="L7" s="19">
        <v>50</v>
      </c>
      <c r="M7" s="19">
        <v>0.5</v>
      </c>
      <c r="N7" s="19">
        <v>60</v>
      </c>
      <c r="O7" s="19">
        <v>5</v>
      </c>
      <c r="P7" s="19">
        <v>0.01</v>
      </c>
      <c r="Q7" s="19">
        <v>11.25</v>
      </c>
      <c r="R7" s="19">
        <v>0.65</v>
      </c>
      <c r="S7" s="19">
        <v>0.33</v>
      </c>
      <c r="T7" s="19">
        <v>1</v>
      </c>
      <c r="U7" s="19">
        <v>2</v>
      </c>
      <c r="V7" s="19">
        <v>2</v>
      </c>
      <c r="W7" s="19">
        <v>2</v>
      </c>
      <c r="X7" s="19">
        <v>10</v>
      </c>
      <c r="Y7" s="19">
        <v>0</v>
      </c>
      <c r="Z7" s="19">
        <v>0</v>
      </c>
      <c r="AA7" s="19">
        <v>0</v>
      </c>
      <c r="AB7" s="19">
        <v>2</v>
      </c>
      <c r="AC7" s="19">
        <v>1</v>
      </c>
      <c r="AD7" s="19">
        <v>10</v>
      </c>
      <c r="AE7" s="19">
        <v>2</v>
      </c>
      <c r="AF7" s="19">
        <v>2</v>
      </c>
      <c r="AG7" s="19">
        <v>20</v>
      </c>
      <c r="AH7" s="55">
        <v>2</v>
      </c>
      <c r="AI7" s="14">
        <v>20</v>
      </c>
      <c r="AJ7" s="92">
        <v>22.31</v>
      </c>
      <c r="AK7" s="14">
        <v>7.69</v>
      </c>
      <c r="AL7" s="14">
        <v>1.3</v>
      </c>
      <c r="AM7" s="14">
        <v>5</v>
      </c>
      <c r="AN7" s="14">
        <v>2</v>
      </c>
      <c r="AO7" s="14">
        <v>50</v>
      </c>
      <c r="AP7" s="55">
        <v>10</v>
      </c>
      <c r="AQ7" s="93">
        <v>10</v>
      </c>
      <c r="AR7" s="14">
        <v>25.45</v>
      </c>
      <c r="AS7" s="14">
        <v>8.18</v>
      </c>
      <c r="AT7" s="19">
        <v>1.1000000000000001</v>
      </c>
      <c r="AU7" s="19">
        <v>5</v>
      </c>
      <c r="AV7" s="19">
        <v>24</v>
      </c>
      <c r="AW7" s="19">
        <v>50</v>
      </c>
      <c r="AX7" s="54">
        <v>10</v>
      </c>
      <c r="AY7" s="93">
        <v>30</v>
      </c>
      <c r="AZ7" s="19">
        <v>27</v>
      </c>
      <c r="BA7" s="19">
        <v>6.0119999999999996</v>
      </c>
      <c r="BB7" s="19">
        <v>1.33</v>
      </c>
      <c r="BC7" s="14">
        <v>5</v>
      </c>
      <c r="BD7" s="14">
        <v>20</v>
      </c>
      <c r="BE7" s="14">
        <v>50</v>
      </c>
      <c r="BF7" s="55">
        <v>10</v>
      </c>
      <c r="BG7" s="93">
        <v>40</v>
      </c>
      <c r="BH7" s="19">
        <v>12.37</v>
      </c>
      <c r="BI7" s="14">
        <v>4.84</v>
      </c>
      <c r="BJ7" s="19">
        <v>1.86</v>
      </c>
      <c r="BK7" s="19">
        <v>5</v>
      </c>
      <c r="BL7" s="19">
        <v>23</v>
      </c>
      <c r="BM7" s="19">
        <v>50</v>
      </c>
      <c r="BN7" s="54">
        <v>10</v>
      </c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91">
        <v>0</v>
      </c>
    </row>
    <row r="8" spans="1:74" x14ac:dyDescent="0.3">
      <c r="A8" s="8" t="s">
        <v>271</v>
      </c>
      <c r="B8">
        <v>7</v>
      </c>
      <c r="C8">
        <v>0.192</v>
      </c>
      <c r="D8" s="14">
        <v>20</v>
      </c>
      <c r="E8" s="19">
        <v>0</v>
      </c>
      <c r="F8">
        <v>5.2</v>
      </c>
      <c r="G8" s="14">
        <v>0.01</v>
      </c>
      <c r="H8" s="20">
        <v>0.25</v>
      </c>
      <c r="I8" s="19">
        <v>8.56</v>
      </c>
      <c r="J8" s="19">
        <v>0</v>
      </c>
      <c r="K8" s="19">
        <v>200</v>
      </c>
      <c r="L8" s="19">
        <v>50</v>
      </c>
      <c r="M8" s="19">
        <v>0.5</v>
      </c>
      <c r="N8" s="19">
        <v>60</v>
      </c>
      <c r="O8" s="19">
        <v>5</v>
      </c>
      <c r="P8" s="19">
        <v>0.01</v>
      </c>
      <c r="Q8" s="19">
        <v>11.25</v>
      </c>
      <c r="R8" s="19">
        <v>0.65</v>
      </c>
      <c r="S8" s="19">
        <v>0.33</v>
      </c>
      <c r="T8" s="19">
        <v>1</v>
      </c>
      <c r="U8" s="19">
        <v>2</v>
      </c>
      <c r="V8" s="19">
        <v>2</v>
      </c>
      <c r="W8" s="19">
        <v>2</v>
      </c>
      <c r="X8" s="19">
        <v>10</v>
      </c>
      <c r="Y8" s="19">
        <v>0</v>
      </c>
      <c r="Z8" s="19">
        <v>0</v>
      </c>
      <c r="AA8" s="19">
        <v>0</v>
      </c>
      <c r="AB8" s="19">
        <v>2</v>
      </c>
      <c r="AC8" s="19">
        <v>1</v>
      </c>
      <c r="AD8" s="19">
        <v>10</v>
      </c>
      <c r="AE8" s="19">
        <v>2</v>
      </c>
      <c r="AF8" s="19">
        <v>2</v>
      </c>
      <c r="AG8" s="19">
        <v>20</v>
      </c>
      <c r="AH8" s="55">
        <v>2</v>
      </c>
      <c r="AI8" s="14">
        <v>20</v>
      </c>
      <c r="AJ8" s="14">
        <v>29.36</v>
      </c>
      <c r="AK8" s="14">
        <v>8.26</v>
      </c>
      <c r="AL8" s="14">
        <v>1.0900000000000001</v>
      </c>
      <c r="AM8" s="14">
        <v>5</v>
      </c>
      <c r="AN8" s="14">
        <v>2</v>
      </c>
      <c r="AO8" s="14">
        <v>50</v>
      </c>
      <c r="AP8" s="55">
        <v>10</v>
      </c>
      <c r="AQ8" s="14">
        <v>13</v>
      </c>
      <c r="AR8" s="14">
        <v>21.48</v>
      </c>
      <c r="AS8" s="14">
        <v>5.93</v>
      </c>
      <c r="AT8" s="14">
        <v>1.35</v>
      </c>
      <c r="AU8" s="19">
        <v>5</v>
      </c>
      <c r="AV8" s="19">
        <v>8</v>
      </c>
      <c r="AW8" s="19">
        <v>50</v>
      </c>
      <c r="AX8" s="54">
        <v>10</v>
      </c>
      <c r="AY8" s="14">
        <v>20</v>
      </c>
      <c r="AZ8" s="14">
        <v>14.94</v>
      </c>
      <c r="BA8" s="14">
        <v>3.2480000000000002</v>
      </c>
      <c r="BB8" s="14">
        <v>1.54</v>
      </c>
      <c r="BC8" s="14">
        <v>5</v>
      </c>
      <c r="BD8" s="14">
        <v>21</v>
      </c>
      <c r="BE8" s="14">
        <v>50</v>
      </c>
      <c r="BF8" s="55">
        <v>10</v>
      </c>
      <c r="BG8" s="14">
        <v>31</v>
      </c>
      <c r="BH8" s="14">
        <v>14.94</v>
      </c>
      <c r="BI8" s="14">
        <v>2.597</v>
      </c>
      <c r="BJ8" s="14">
        <v>1.54</v>
      </c>
      <c r="BK8" s="19">
        <v>5</v>
      </c>
      <c r="BL8" s="19">
        <v>12</v>
      </c>
      <c r="BM8" s="19">
        <v>50</v>
      </c>
      <c r="BN8" s="54">
        <v>10</v>
      </c>
      <c r="BO8" s="14">
        <v>16</v>
      </c>
      <c r="BP8" s="14">
        <v>12.96</v>
      </c>
      <c r="BQ8" s="14">
        <v>3.0859999999999999</v>
      </c>
      <c r="BR8" s="14">
        <v>1.62</v>
      </c>
      <c r="BS8" s="19">
        <v>5</v>
      </c>
      <c r="BT8" s="19">
        <v>20</v>
      </c>
      <c r="BU8" s="19">
        <v>50</v>
      </c>
      <c r="BV8" s="91">
        <v>10</v>
      </c>
    </row>
    <row r="9" spans="1:74" x14ac:dyDescent="0.3">
      <c r="A9" s="8" t="s">
        <v>272</v>
      </c>
      <c r="B9">
        <v>7</v>
      </c>
      <c r="C9">
        <v>0.121</v>
      </c>
      <c r="D9" s="14">
        <v>20</v>
      </c>
      <c r="E9" s="19">
        <v>0</v>
      </c>
      <c r="F9">
        <v>4.9000000000000004</v>
      </c>
      <c r="G9" s="14">
        <v>0.01</v>
      </c>
      <c r="H9" s="20">
        <v>0.25</v>
      </c>
      <c r="I9" s="19">
        <v>8.56</v>
      </c>
      <c r="J9" s="19">
        <v>0</v>
      </c>
      <c r="K9" s="19">
        <v>200</v>
      </c>
      <c r="L9" s="19">
        <v>50</v>
      </c>
      <c r="M9" s="19">
        <v>0.5</v>
      </c>
      <c r="N9" s="19">
        <v>60</v>
      </c>
      <c r="O9" s="19">
        <v>5</v>
      </c>
      <c r="P9" s="19">
        <v>0.01</v>
      </c>
      <c r="Q9" s="19">
        <v>11.25</v>
      </c>
      <c r="R9" s="19">
        <v>0.65</v>
      </c>
      <c r="S9" s="19">
        <v>0.33</v>
      </c>
      <c r="T9" s="19">
        <v>1</v>
      </c>
      <c r="U9" s="19">
        <v>2</v>
      </c>
      <c r="V9" s="19">
        <v>2</v>
      </c>
      <c r="W9" s="19">
        <v>2</v>
      </c>
      <c r="X9" s="19">
        <v>10</v>
      </c>
      <c r="Y9" s="19">
        <v>0</v>
      </c>
      <c r="Z9" s="19">
        <v>0</v>
      </c>
      <c r="AA9" s="19">
        <v>0</v>
      </c>
      <c r="AB9" s="19">
        <v>2</v>
      </c>
      <c r="AC9" s="19">
        <v>1</v>
      </c>
      <c r="AD9" s="19">
        <v>10</v>
      </c>
      <c r="AE9" s="19">
        <v>2</v>
      </c>
      <c r="AF9" s="19">
        <v>2</v>
      </c>
      <c r="AG9" s="19">
        <v>20</v>
      </c>
      <c r="AH9" s="55">
        <v>2</v>
      </c>
      <c r="AI9" s="14">
        <v>20</v>
      </c>
      <c r="AJ9" s="14">
        <v>18</v>
      </c>
      <c r="AK9" s="14">
        <v>5.26</v>
      </c>
      <c r="AL9" s="14">
        <v>1.33</v>
      </c>
      <c r="AM9" s="14">
        <v>5</v>
      </c>
      <c r="AN9" s="14">
        <v>0</v>
      </c>
      <c r="AO9" s="14">
        <v>50</v>
      </c>
      <c r="AP9" s="55">
        <v>10</v>
      </c>
      <c r="AQ9" s="14">
        <v>13</v>
      </c>
      <c r="AR9" s="14">
        <v>9.4</v>
      </c>
      <c r="AS9" s="14">
        <v>1.34</v>
      </c>
      <c r="AT9" s="14">
        <v>1.49</v>
      </c>
      <c r="AU9" s="19">
        <v>5</v>
      </c>
      <c r="AV9" s="19">
        <v>4</v>
      </c>
      <c r="AW9" s="19">
        <v>50</v>
      </c>
      <c r="AX9" s="54">
        <v>10</v>
      </c>
      <c r="AY9" s="14">
        <v>13</v>
      </c>
      <c r="AZ9" s="14">
        <v>14.77</v>
      </c>
      <c r="BA9" s="14">
        <v>4.03</v>
      </c>
      <c r="BB9" s="14">
        <v>1.49</v>
      </c>
      <c r="BC9" s="14">
        <v>5</v>
      </c>
      <c r="BD9" s="14">
        <v>0</v>
      </c>
      <c r="BE9" s="14">
        <v>50</v>
      </c>
      <c r="BF9" s="55">
        <v>10</v>
      </c>
      <c r="BG9" s="14">
        <v>15</v>
      </c>
      <c r="BH9" s="14">
        <v>11.18</v>
      </c>
      <c r="BI9" s="14">
        <v>1.97</v>
      </c>
      <c r="BJ9" s="14">
        <v>1.52</v>
      </c>
      <c r="BK9" s="19">
        <v>5</v>
      </c>
      <c r="BL9" s="19">
        <v>0</v>
      </c>
      <c r="BM9" s="19">
        <v>50</v>
      </c>
      <c r="BN9" s="54">
        <v>10</v>
      </c>
      <c r="BO9" s="19">
        <v>39</v>
      </c>
      <c r="BP9" s="19">
        <v>12.22</v>
      </c>
      <c r="BQ9" s="19">
        <v>2.2200000000000002</v>
      </c>
      <c r="BR9" s="19">
        <v>1.8</v>
      </c>
      <c r="BS9" s="19">
        <v>5</v>
      </c>
      <c r="BT9" s="19">
        <v>7</v>
      </c>
      <c r="BU9" s="19">
        <v>0</v>
      </c>
      <c r="BV9" s="91">
        <v>0</v>
      </c>
    </row>
    <row r="10" spans="1:74" x14ac:dyDescent="0.3">
      <c r="A10" s="8" t="s">
        <v>274</v>
      </c>
      <c r="B10">
        <v>11</v>
      </c>
      <c r="C10">
        <v>0.16600000000000001</v>
      </c>
      <c r="D10" s="14">
        <v>20</v>
      </c>
      <c r="E10" s="19">
        <v>0</v>
      </c>
      <c r="F10">
        <v>5.7</v>
      </c>
      <c r="G10" s="14">
        <v>0.01</v>
      </c>
      <c r="H10" s="20">
        <v>0.25</v>
      </c>
      <c r="I10" s="19">
        <v>7.8</v>
      </c>
      <c r="J10" s="19">
        <v>0</v>
      </c>
      <c r="K10" s="19">
        <v>200</v>
      </c>
      <c r="L10" s="19">
        <v>50</v>
      </c>
      <c r="M10" s="19">
        <v>0.5</v>
      </c>
      <c r="N10" s="19">
        <v>79</v>
      </c>
      <c r="O10" s="19">
        <v>1</v>
      </c>
      <c r="P10" s="19">
        <v>0.01</v>
      </c>
      <c r="Q10" s="19">
        <v>11.25</v>
      </c>
      <c r="R10" s="19">
        <v>0.65</v>
      </c>
      <c r="S10" s="19">
        <v>0.33</v>
      </c>
      <c r="T10" s="19">
        <v>1</v>
      </c>
      <c r="U10" s="19">
        <v>2</v>
      </c>
      <c r="V10" s="19">
        <v>2</v>
      </c>
      <c r="W10" s="19">
        <v>2</v>
      </c>
      <c r="X10" s="19">
        <v>10</v>
      </c>
      <c r="Y10" s="19">
        <v>0</v>
      </c>
      <c r="Z10" s="19">
        <v>0</v>
      </c>
      <c r="AA10" s="19">
        <v>0</v>
      </c>
      <c r="AB10" s="19">
        <v>2</v>
      </c>
      <c r="AC10" s="19">
        <v>1</v>
      </c>
      <c r="AD10" s="19">
        <v>10</v>
      </c>
      <c r="AE10" s="19">
        <v>2</v>
      </c>
      <c r="AF10" s="19">
        <v>2</v>
      </c>
      <c r="AG10" s="19">
        <v>20</v>
      </c>
      <c r="AH10" s="55">
        <v>2</v>
      </c>
      <c r="AI10" s="14">
        <v>20</v>
      </c>
      <c r="AJ10" s="14">
        <v>19.100000000000001</v>
      </c>
      <c r="AK10" s="14">
        <v>6.6</v>
      </c>
      <c r="AL10" s="14">
        <v>1.1399999999999999</v>
      </c>
      <c r="AM10" s="14">
        <v>5</v>
      </c>
      <c r="AN10" s="14">
        <v>2</v>
      </c>
      <c r="AO10" s="14">
        <v>50</v>
      </c>
      <c r="AP10" s="55">
        <v>10</v>
      </c>
      <c r="AQ10" s="14">
        <v>30</v>
      </c>
      <c r="AR10" s="14">
        <v>19.100000000000001</v>
      </c>
      <c r="AS10" s="14">
        <v>6.6</v>
      </c>
      <c r="AT10" s="14">
        <v>1.1399999999999999</v>
      </c>
      <c r="AU10" s="14">
        <v>5</v>
      </c>
      <c r="AV10" s="14">
        <v>2</v>
      </c>
      <c r="AW10" s="14">
        <v>50</v>
      </c>
      <c r="AX10" s="55">
        <v>10</v>
      </c>
      <c r="AY10" s="93">
        <v>10</v>
      </c>
      <c r="AZ10" s="14">
        <v>25.45</v>
      </c>
      <c r="BA10" s="14">
        <v>8.18</v>
      </c>
      <c r="BB10" s="19">
        <v>1.1000000000000001</v>
      </c>
      <c r="BC10" s="19">
        <v>5</v>
      </c>
      <c r="BD10" s="19">
        <v>24</v>
      </c>
      <c r="BE10" s="19">
        <v>50</v>
      </c>
      <c r="BF10" s="54">
        <v>10</v>
      </c>
      <c r="BG10" s="93">
        <v>30</v>
      </c>
      <c r="BH10" s="19">
        <v>27.1</v>
      </c>
      <c r="BI10" s="19">
        <v>6.0119999999999996</v>
      </c>
      <c r="BJ10" s="19">
        <v>1.33</v>
      </c>
      <c r="BK10" s="14">
        <v>5</v>
      </c>
      <c r="BL10" s="14">
        <v>20</v>
      </c>
      <c r="BM10" s="14">
        <v>50</v>
      </c>
      <c r="BN10" s="55">
        <v>10</v>
      </c>
      <c r="BO10" s="93">
        <v>40</v>
      </c>
      <c r="BP10" s="19">
        <v>12.37</v>
      </c>
      <c r="BQ10" s="14">
        <v>4.84</v>
      </c>
      <c r="BR10" s="19">
        <v>1.86</v>
      </c>
      <c r="BS10" s="19">
        <v>5</v>
      </c>
      <c r="BT10" s="19">
        <v>23</v>
      </c>
      <c r="BU10" s="19">
        <v>50</v>
      </c>
      <c r="BV10" s="54">
        <v>10</v>
      </c>
    </row>
    <row r="11" spans="1:74" x14ac:dyDescent="0.3">
      <c r="A11" s="8" t="s">
        <v>275</v>
      </c>
      <c r="B11">
        <v>7</v>
      </c>
      <c r="C11">
        <v>0.192</v>
      </c>
      <c r="D11" s="14">
        <v>20</v>
      </c>
      <c r="E11" s="19">
        <v>0</v>
      </c>
      <c r="F11">
        <v>5.2</v>
      </c>
      <c r="G11" s="14">
        <v>0.01</v>
      </c>
      <c r="H11" s="20">
        <v>0.25</v>
      </c>
      <c r="I11" s="19">
        <v>7.1</v>
      </c>
      <c r="J11" s="19">
        <v>0</v>
      </c>
      <c r="K11" s="19">
        <v>200</v>
      </c>
      <c r="L11" s="19">
        <v>50</v>
      </c>
      <c r="M11" s="19">
        <v>0.5</v>
      </c>
      <c r="N11" s="19">
        <v>26</v>
      </c>
      <c r="O11" s="19">
        <v>8.1999999999999993</v>
      </c>
      <c r="P11" s="19">
        <v>0.01</v>
      </c>
      <c r="Q11" s="19">
        <v>11.25</v>
      </c>
      <c r="R11" s="19">
        <v>0.65</v>
      </c>
      <c r="S11" s="19">
        <v>0.33</v>
      </c>
      <c r="T11" s="19">
        <v>1</v>
      </c>
      <c r="U11" s="19">
        <v>2</v>
      </c>
      <c r="V11" s="19">
        <v>2</v>
      </c>
      <c r="W11" s="19">
        <v>2</v>
      </c>
      <c r="X11" s="19">
        <v>10</v>
      </c>
      <c r="Y11" s="19">
        <v>0</v>
      </c>
      <c r="Z11" s="19">
        <v>0</v>
      </c>
      <c r="AA11" s="19">
        <v>0</v>
      </c>
      <c r="AB11" s="19">
        <v>2</v>
      </c>
      <c r="AC11" s="19">
        <v>1</v>
      </c>
      <c r="AD11" s="19">
        <v>10</v>
      </c>
      <c r="AE11" s="19">
        <v>2</v>
      </c>
      <c r="AF11" s="19">
        <v>2</v>
      </c>
      <c r="AG11" s="19">
        <v>20</v>
      </c>
      <c r="AH11" s="55">
        <v>2</v>
      </c>
      <c r="AI11" s="14">
        <v>20</v>
      </c>
      <c r="AJ11" s="14">
        <v>24.75</v>
      </c>
      <c r="AK11" s="14">
        <v>7.05</v>
      </c>
      <c r="AL11" s="14">
        <v>0.96</v>
      </c>
      <c r="AM11" s="14">
        <v>5</v>
      </c>
      <c r="AN11" s="14">
        <v>2</v>
      </c>
      <c r="AO11" s="14">
        <v>50</v>
      </c>
      <c r="AP11" s="55">
        <v>10</v>
      </c>
      <c r="AQ11" s="14">
        <v>30</v>
      </c>
      <c r="AR11" s="14">
        <v>24.75</v>
      </c>
      <c r="AS11" s="14">
        <v>7.05</v>
      </c>
      <c r="AT11" s="14">
        <v>0.96</v>
      </c>
      <c r="AU11" s="14">
        <v>5</v>
      </c>
      <c r="AV11" s="14">
        <v>2</v>
      </c>
      <c r="AW11" s="19">
        <v>50</v>
      </c>
      <c r="AX11" s="54">
        <v>10</v>
      </c>
      <c r="AY11" s="14">
        <v>13</v>
      </c>
      <c r="AZ11" s="14">
        <v>21.48</v>
      </c>
      <c r="BA11" s="14">
        <v>5.93</v>
      </c>
      <c r="BB11" s="14">
        <v>1.35</v>
      </c>
      <c r="BC11" s="19">
        <v>5</v>
      </c>
      <c r="BD11" s="19">
        <v>8</v>
      </c>
      <c r="BE11" s="19">
        <v>50</v>
      </c>
      <c r="BF11" s="54">
        <v>10</v>
      </c>
      <c r="BG11" s="14">
        <v>20</v>
      </c>
      <c r="BH11" s="14">
        <v>14.94</v>
      </c>
      <c r="BI11" s="14">
        <v>3.2480000000000002</v>
      </c>
      <c r="BJ11" s="14">
        <v>1.54</v>
      </c>
      <c r="BK11" s="14">
        <v>5</v>
      </c>
      <c r="BL11" s="14">
        <v>21</v>
      </c>
      <c r="BM11" s="14">
        <v>50</v>
      </c>
      <c r="BN11" s="55">
        <v>10</v>
      </c>
      <c r="BO11" s="14">
        <v>31</v>
      </c>
      <c r="BP11" s="14">
        <v>14.94</v>
      </c>
      <c r="BQ11" s="14">
        <v>2.597</v>
      </c>
      <c r="BR11" s="14">
        <v>1.54</v>
      </c>
      <c r="BS11" s="19">
        <v>5</v>
      </c>
      <c r="BT11" s="19">
        <v>12</v>
      </c>
      <c r="BU11" s="19">
        <v>50</v>
      </c>
      <c r="BV11" s="54">
        <v>10</v>
      </c>
    </row>
    <row r="12" spans="1:74" x14ac:dyDescent="0.3">
      <c r="A12" s="8" t="s">
        <v>276</v>
      </c>
      <c r="B12">
        <v>7</v>
      </c>
      <c r="C12">
        <v>0.121</v>
      </c>
      <c r="D12" s="14">
        <v>20</v>
      </c>
      <c r="E12" s="19">
        <v>0</v>
      </c>
      <c r="F12">
        <v>4.9000000000000004</v>
      </c>
      <c r="G12" s="14">
        <v>0.01</v>
      </c>
      <c r="H12" s="20">
        <v>0.25</v>
      </c>
      <c r="I12" s="19">
        <v>8.56</v>
      </c>
      <c r="J12" s="19">
        <v>0</v>
      </c>
      <c r="K12" s="19">
        <v>200</v>
      </c>
      <c r="L12" s="19">
        <v>50</v>
      </c>
      <c r="M12" s="19">
        <v>0.5</v>
      </c>
      <c r="N12" s="19">
        <v>79</v>
      </c>
      <c r="O12" s="19">
        <v>1</v>
      </c>
      <c r="P12" s="19">
        <v>0.01</v>
      </c>
      <c r="Q12" s="19">
        <v>11.25</v>
      </c>
      <c r="R12" s="19">
        <v>0.65</v>
      </c>
      <c r="S12" s="19">
        <v>0.33</v>
      </c>
      <c r="T12" s="19">
        <v>1</v>
      </c>
      <c r="U12" s="19">
        <v>2</v>
      </c>
      <c r="V12" s="19">
        <v>2</v>
      </c>
      <c r="W12" s="19">
        <v>2</v>
      </c>
      <c r="X12" s="19">
        <v>10</v>
      </c>
      <c r="Y12" s="19">
        <v>0</v>
      </c>
      <c r="Z12" s="19">
        <v>0</v>
      </c>
      <c r="AA12" s="19">
        <v>0</v>
      </c>
      <c r="AB12" s="19">
        <v>2</v>
      </c>
      <c r="AC12" s="19">
        <v>1</v>
      </c>
      <c r="AD12" s="19">
        <v>10</v>
      </c>
      <c r="AE12" s="19">
        <v>2</v>
      </c>
      <c r="AF12" s="19">
        <v>2</v>
      </c>
      <c r="AG12" s="19">
        <v>20</v>
      </c>
      <c r="AH12" s="55">
        <v>2</v>
      </c>
      <c r="AI12" s="14">
        <v>20</v>
      </c>
      <c r="AJ12" s="14">
        <v>17.3</v>
      </c>
      <c r="AK12" s="14">
        <v>4.5</v>
      </c>
      <c r="AL12" s="14">
        <v>1.17</v>
      </c>
      <c r="AM12" s="14">
        <v>5</v>
      </c>
      <c r="AN12" s="14">
        <v>0</v>
      </c>
      <c r="AO12" s="14">
        <v>50</v>
      </c>
      <c r="AP12" s="55">
        <v>10</v>
      </c>
      <c r="AQ12" s="14">
        <v>30</v>
      </c>
      <c r="AR12" s="14">
        <v>17.3</v>
      </c>
      <c r="AS12" s="14">
        <v>4.5</v>
      </c>
      <c r="AT12" s="14">
        <v>1.17</v>
      </c>
      <c r="AU12" s="14">
        <v>5</v>
      </c>
      <c r="AV12" s="14">
        <v>0</v>
      </c>
      <c r="AW12" s="19">
        <v>50</v>
      </c>
      <c r="AX12" s="54">
        <v>10</v>
      </c>
      <c r="AY12" s="14">
        <v>13</v>
      </c>
      <c r="AZ12" s="14">
        <v>9.4</v>
      </c>
      <c r="BA12" s="14">
        <v>1.34</v>
      </c>
      <c r="BB12" s="14">
        <v>1.49</v>
      </c>
      <c r="BC12" s="19">
        <v>5</v>
      </c>
      <c r="BD12" s="19">
        <v>4</v>
      </c>
      <c r="BE12" s="19">
        <v>50</v>
      </c>
      <c r="BF12" s="54">
        <v>10</v>
      </c>
      <c r="BG12" s="14">
        <v>13</v>
      </c>
      <c r="BH12" s="14">
        <v>14.77</v>
      </c>
      <c r="BI12" s="14">
        <v>4.03</v>
      </c>
      <c r="BJ12" s="14">
        <v>1.49</v>
      </c>
      <c r="BK12" s="14">
        <v>5</v>
      </c>
      <c r="BL12" s="14">
        <v>0</v>
      </c>
      <c r="BM12" s="14">
        <v>50</v>
      </c>
      <c r="BN12" s="55">
        <v>10</v>
      </c>
      <c r="BO12" s="14">
        <v>15</v>
      </c>
      <c r="BP12" s="14">
        <v>11.18</v>
      </c>
      <c r="BQ12" s="14">
        <v>1.97</v>
      </c>
      <c r="BR12" s="14">
        <v>1.52</v>
      </c>
      <c r="BS12" s="19">
        <v>5</v>
      </c>
      <c r="BT12" s="19">
        <v>0</v>
      </c>
      <c r="BU12" s="19">
        <v>50</v>
      </c>
      <c r="BV12" s="54">
        <v>10</v>
      </c>
    </row>
    <row r="13" spans="1:74" x14ac:dyDescent="0.3">
      <c r="A13" s="8" t="s">
        <v>293</v>
      </c>
      <c r="B13">
        <v>11</v>
      </c>
      <c r="C13">
        <v>0.16600000000000001</v>
      </c>
      <c r="D13" s="14">
        <v>20</v>
      </c>
      <c r="E13" s="19">
        <v>0</v>
      </c>
      <c r="F13">
        <v>5.7</v>
      </c>
      <c r="G13" s="14">
        <v>0.01</v>
      </c>
      <c r="H13" s="20">
        <v>0.25</v>
      </c>
      <c r="I13" s="19">
        <v>8.9</v>
      </c>
      <c r="J13" s="19">
        <v>0</v>
      </c>
      <c r="K13" s="19">
        <v>200</v>
      </c>
      <c r="L13" s="19">
        <v>50</v>
      </c>
      <c r="M13" s="19">
        <v>0.5</v>
      </c>
      <c r="N13" s="19">
        <v>26</v>
      </c>
      <c r="O13" s="19">
        <v>8.1999999999999993</v>
      </c>
      <c r="P13" s="19">
        <v>0.01</v>
      </c>
      <c r="Q13" s="19">
        <v>11.25</v>
      </c>
      <c r="R13" s="19">
        <v>0.65</v>
      </c>
      <c r="S13" s="19">
        <v>0.33</v>
      </c>
      <c r="T13" s="19">
        <v>1</v>
      </c>
      <c r="U13" s="19">
        <v>2</v>
      </c>
      <c r="V13" s="19">
        <v>2</v>
      </c>
      <c r="W13" s="19">
        <v>2</v>
      </c>
      <c r="X13" s="19">
        <v>10</v>
      </c>
      <c r="Y13" s="19">
        <v>0</v>
      </c>
      <c r="Z13" s="19">
        <v>0</v>
      </c>
      <c r="AA13" s="19">
        <v>0</v>
      </c>
      <c r="AB13" s="19">
        <v>2</v>
      </c>
      <c r="AC13" s="19">
        <v>1</v>
      </c>
      <c r="AD13" s="19">
        <v>10</v>
      </c>
      <c r="AE13" s="19">
        <v>2</v>
      </c>
      <c r="AF13" s="19">
        <v>2</v>
      </c>
      <c r="AG13" s="19">
        <v>20</v>
      </c>
      <c r="AH13" s="55">
        <v>2</v>
      </c>
      <c r="AI13" s="14">
        <v>20</v>
      </c>
      <c r="AJ13" s="14">
        <v>25.4</v>
      </c>
      <c r="AK13" s="14">
        <v>8.8000000000000007</v>
      </c>
      <c r="AL13" s="14">
        <v>1.1399999999999999</v>
      </c>
      <c r="AM13" s="14">
        <v>5</v>
      </c>
      <c r="AN13" s="14">
        <v>2</v>
      </c>
      <c r="AO13" s="14">
        <v>50</v>
      </c>
      <c r="AP13" s="55">
        <v>10</v>
      </c>
      <c r="AQ13" s="14">
        <v>30</v>
      </c>
      <c r="AR13" s="14">
        <v>25.4</v>
      </c>
      <c r="AS13" s="14">
        <v>8.8000000000000007</v>
      </c>
      <c r="AT13" s="14">
        <v>1.1399999999999999</v>
      </c>
      <c r="AU13" s="14">
        <v>5</v>
      </c>
      <c r="AV13" s="14">
        <v>2</v>
      </c>
      <c r="AW13" s="14">
        <v>50</v>
      </c>
      <c r="AX13" s="55">
        <v>10</v>
      </c>
      <c r="AY13" s="93">
        <v>10</v>
      </c>
      <c r="AZ13" s="14">
        <v>25.45</v>
      </c>
      <c r="BA13" s="14">
        <v>8.18</v>
      </c>
      <c r="BB13" s="19">
        <v>1.1000000000000001</v>
      </c>
      <c r="BC13" s="19">
        <v>5</v>
      </c>
      <c r="BD13" s="19">
        <v>24</v>
      </c>
      <c r="BE13" s="19">
        <v>50</v>
      </c>
      <c r="BF13" s="54">
        <v>10</v>
      </c>
      <c r="BG13" s="93">
        <v>30</v>
      </c>
      <c r="BH13" s="19">
        <v>27.1</v>
      </c>
      <c r="BI13" s="19">
        <v>6.0119999999999996</v>
      </c>
      <c r="BJ13" s="19">
        <v>1.33</v>
      </c>
      <c r="BK13" s="14">
        <v>5</v>
      </c>
      <c r="BL13" s="14">
        <v>20</v>
      </c>
      <c r="BM13" s="14">
        <v>50</v>
      </c>
      <c r="BN13" s="55">
        <v>10</v>
      </c>
      <c r="BO13" s="93">
        <v>40</v>
      </c>
      <c r="BP13" s="19">
        <v>12.37</v>
      </c>
      <c r="BQ13" s="14">
        <v>4.84</v>
      </c>
      <c r="BR13" s="19">
        <v>1.86</v>
      </c>
      <c r="BS13" s="19">
        <v>5</v>
      </c>
      <c r="BT13" s="19">
        <v>23</v>
      </c>
      <c r="BU13" s="19">
        <v>50</v>
      </c>
      <c r="BV13" s="54">
        <v>10</v>
      </c>
    </row>
    <row r="14" spans="1:74" x14ac:dyDescent="0.3">
      <c r="A14" s="8" t="s">
        <v>294</v>
      </c>
      <c r="B14">
        <v>7</v>
      </c>
      <c r="C14">
        <v>0.192</v>
      </c>
      <c r="D14" s="14">
        <v>20</v>
      </c>
      <c r="E14" s="19">
        <v>0</v>
      </c>
      <c r="F14">
        <v>5.2</v>
      </c>
      <c r="G14" s="14">
        <v>0.01</v>
      </c>
      <c r="H14" s="20">
        <v>0.25</v>
      </c>
      <c r="I14" s="19">
        <v>8.56</v>
      </c>
      <c r="J14" s="19">
        <v>0</v>
      </c>
      <c r="K14" s="19">
        <v>200</v>
      </c>
      <c r="L14" s="19">
        <v>50</v>
      </c>
      <c r="M14" s="19">
        <v>0.5</v>
      </c>
      <c r="N14" s="19">
        <v>26</v>
      </c>
      <c r="O14" s="19">
        <v>8.1999999999999993</v>
      </c>
      <c r="P14" s="19">
        <v>0.01</v>
      </c>
      <c r="Q14" s="19">
        <v>11.25</v>
      </c>
      <c r="R14" s="19">
        <v>0.65</v>
      </c>
      <c r="S14" s="19">
        <v>0.33</v>
      </c>
      <c r="T14" s="19">
        <v>1</v>
      </c>
      <c r="U14" s="19">
        <v>2</v>
      </c>
      <c r="V14" s="19">
        <v>2</v>
      </c>
      <c r="W14" s="19">
        <v>2</v>
      </c>
      <c r="X14" s="19">
        <v>10</v>
      </c>
      <c r="Y14" s="19">
        <v>0</v>
      </c>
      <c r="Z14" s="19">
        <v>0</v>
      </c>
      <c r="AA14" s="19">
        <v>0</v>
      </c>
      <c r="AB14" s="19">
        <v>2</v>
      </c>
      <c r="AC14" s="19">
        <v>1</v>
      </c>
      <c r="AD14" s="19">
        <v>10</v>
      </c>
      <c r="AE14" s="19">
        <v>2</v>
      </c>
      <c r="AF14" s="19">
        <v>2</v>
      </c>
      <c r="AG14" s="19">
        <v>20</v>
      </c>
      <c r="AH14" s="55">
        <v>2</v>
      </c>
      <c r="AI14" s="14">
        <v>20</v>
      </c>
      <c r="AJ14" s="14">
        <v>33</v>
      </c>
      <c r="AK14" s="14">
        <v>9.4</v>
      </c>
      <c r="AL14" s="14">
        <v>0.96</v>
      </c>
      <c r="AM14" s="14">
        <v>5</v>
      </c>
      <c r="AN14" s="14">
        <v>2</v>
      </c>
      <c r="AO14" s="14">
        <v>50</v>
      </c>
      <c r="AP14" s="55">
        <v>10</v>
      </c>
      <c r="AQ14" s="14">
        <v>30</v>
      </c>
      <c r="AR14" s="14">
        <v>33</v>
      </c>
      <c r="AS14" s="14">
        <v>9.4</v>
      </c>
      <c r="AT14" s="14">
        <v>0.96</v>
      </c>
      <c r="AU14" s="14">
        <v>5</v>
      </c>
      <c r="AV14" s="14">
        <v>2</v>
      </c>
      <c r="AW14" s="19">
        <v>50</v>
      </c>
      <c r="AX14" s="54">
        <v>10</v>
      </c>
      <c r="AY14" s="14">
        <v>13</v>
      </c>
      <c r="AZ14" s="14">
        <v>21.48</v>
      </c>
      <c r="BA14" s="14">
        <v>5.93</v>
      </c>
      <c r="BB14" s="14">
        <v>1.35</v>
      </c>
      <c r="BC14" s="19">
        <v>5</v>
      </c>
      <c r="BD14" s="19">
        <v>8</v>
      </c>
      <c r="BE14" s="19">
        <v>50</v>
      </c>
      <c r="BF14" s="54">
        <v>10</v>
      </c>
      <c r="BG14" s="14">
        <v>20</v>
      </c>
      <c r="BH14" s="14">
        <v>14.94</v>
      </c>
      <c r="BI14" s="14">
        <v>3.2480000000000002</v>
      </c>
      <c r="BJ14" s="14">
        <v>1.54</v>
      </c>
      <c r="BK14" s="14">
        <v>5</v>
      </c>
      <c r="BL14" s="14">
        <v>21</v>
      </c>
      <c r="BM14" s="14">
        <v>50</v>
      </c>
      <c r="BN14" s="55">
        <v>10</v>
      </c>
      <c r="BO14" s="14">
        <v>31</v>
      </c>
      <c r="BP14" s="14">
        <v>14.94</v>
      </c>
      <c r="BQ14" s="14">
        <v>2.597</v>
      </c>
      <c r="BR14" s="14">
        <v>1.54</v>
      </c>
      <c r="BS14" s="19">
        <v>5</v>
      </c>
      <c r="BT14" s="19">
        <v>12</v>
      </c>
      <c r="BU14" s="19">
        <v>50</v>
      </c>
      <c r="BV14" s="54">
        <v>10</v>
      </c>
    </row>
    <row r="15" spans="1:74" x14ac:dyDescent="0.3">
      <c r="A15" s="8" t="s">
        <v>295</v>
      </c>
      <c r="B15">
        <v>7</v>
      </c>
      <c r="C15">
        <v>0.121</v>
      </c>
      <c r="D15" s="14">
        <v>20</v>
      </c>
      <c r="E15" s="19">
        <v>0</v>
      </c>
      <c r="F15">
        <v>4.9000000000000004</v>
      </c>
      <c r="G15" s="14">
        <v>0.01</v>
      </c>
      <c r="H15" s="20">
        <v>0.25</v>
      </c>
      <c r="I15" s="19">
        <v>8.56</v>
      </c>
      <c r="J15" s="19">
        <v>0</v>
      </c>
      <c r="K15" s="19">
        <v>200</v>
      </c>
      <c r="L15" s="19">
        <v>50</v>
      </c>
      <c r="M15" s="19">
        <v>0.5</v>
      </c>
      <c r="N15" s="19">
        <v>26</v>
      </c>
      <c r="O15" s="19">
        <v>8.1999999999999993</v>
      </c>
      <c r="P15" s="19">
        <v>0.01</v>
      </c>
      <c r="Q15" s="19">
        <v>11.25</v>
      </c>
      <c r="R15" s="19">
        <v>0.65</v>
      </c>
      <c r="S15" s="19">
        <v>0.33</v>
      </c>
      <c r="T15" s="19">
        <v>1</v>
      </c>
      <c r="U15" s="19">
        <v>2</v>
      </c>
      <c r="V15" s="19">
        <v>2</v>
      </c>
      <c r="W15" s="19">
        <v>2</v>
      </c>
      <c r="X15" s="19">
        <v>10</v>
      </c>
      <c r="Y15" s="19">
        <v>0</v>
      </c>
      <c r="Z15" s="19">
        <v>0</v>
      </c>
      <c r="AA15" s="19">
        <v>0</v>
      </c>
      <c r="AB15" s="19">
        <v>2</v>
      </c>
      <c r="AC15" s="19">
        <v>1</v>
      </c>
      <c r="AD15" s="19">
        <v>10</v>
      </c>
      <c r="AE15" s="19">
        <v>2</v>
      </c>
      <c r="AF15" s="19">
        <v>2</v>
      </c>
      <c r="AG15" s="19">
        <v>20</v>
      </c>
      <c r="AH15" s="55">
        <v>2</v>
      </c>
      <c r="AI15" s="14">
        <v>20</v>
      </c>
      <c r="AJ15" s="14">
        <v>23.1</v>
      </c>
      <c r="AK15" s="14">
        <v>5.9</v>
      </c>
      <c r="AL15" s="14">
        <v>1.17</v>
      </c>
      <c r="AM15" s="14">
        <v>5</v>
      </c>
      <c r="AN15" s="14">
        <v>0</v>
      </c>
      <c r="AO15" s="14">
        <v>50</v>
      </c>
      <c r="AP15" s="55">
        <v>10</v>
      </c>
      <c r="AQ15" s="14">
        <v>30</v>
      </c>
      <c r="AR15" s="14">
        <v>23.1</v>
      </c>
      <c r="AS15" s="14">
        <v>5.9</v>
      </c>
      <c r="AT15" s="14">
        <v>1.17</v>
      </c>
      <c r="AU15" s="14">
        <v>5</v>
      </c>
      <c r="AV15" s="14">
        <v>0</v>
      </c>
      <c r="AW15" s="19">
        <v>50</v>
      </c>
      <c r="AX15" s="54">
        <v>10</v>
      </c>
      <c r="AY15" s="14">
        <v>13</v>
      </c>
      <c r="AZ15" s="14">
        <v>9.4</v>
      </c>
      <c r="BA15" s="14">
        <v>1.34</v>
      </c>
      <c r="BB15" s="14">
        <v>1.49</v>
      </c>
      <c r="BC15" s="19">
        <v>5</v>
      </c>
      <c r="BD15" s="19">
        <v>4</v>
      </c>
      <c r="BE15" s="19">
        <v>50</v>
      </c>
      <c r="BF15" s="54">
        <v>10</v>
      </c>
      <c r="BG15" s="14">
        <v>13</v>
      </c>
      <c r="BH15" s="14">
        <v>14.77</v>
      </c>
      <c r="BI15" s="14">
        <v>4.03</v>
      </c>
      <c r="BJ15" s="14">
        <v>1.49</v>
      </c>
      <c r="BK15" s="14">
        <v>5</v>
      </c>
      <c r="BL15" s="14">
        <v>0</v>
      </c>
      <c r="BM15" s="14">
        <v>50</v>
      </c>
      <c r="BN15" s="55">
        <v>10</v>
      </c>
      <c r="BO15" s="14">
        <v>15</v>
      </c>
      <c r="BP15" s="14">
        <v>11.18</v>
      </c>
      <c r="BQ15" s="14">
        <v>1.97</v>
      </c>
      <c r="BR15" s="14">
        <v>1.52</v>
      </c>
      <c r="BS15" s="19">
        <v>5</v>
      </c>
      <c r="BT15" s="19">
        <v>0</v>
      </c>
      <c r="BU15" s="19">
        <v>50</v>
      </c>
      <c r="BV15" s="54">
        <v>10</v>
      </c>
    </row>
    <row r="16" spans="1:74" x14ac:dyDescent="0.3">
      <c r="A16" s="8" t="s">
        <v>296</v>
      </c>
      <c r="B16">
        <v>11</v>
      </c>
      <c r="C16">
        <v>0.16600000000000001</v>
      </c>
      <c r="D16" s="14">
        <v>20</v>
      </c>
      <c r="E16" s="19">
        <v>0</v>
      </c>
      <c r="F16">
        <v>5.7</v>
      </c>
      <c r="G16" s="14">
        <v>0.01</v>
      </c>
      <c r="H16" s="20">
        <v>0.25</v>
      </c>
      <c r="I16" s="19">
        <v>8.9</v>
      </c>
      <c r="J16" s="19">
        <v>0</v>
      </c>
      <c r="K16" s="19">
        <v>200</v>
      </c>
      <c r="L16" s="19">
        <v>50</v>
      </c>
      <c r="M16" s="19">
        <v>0.5</v>
      </c>
      <c r="N16" s="19">
        <v>26</v>
      </c>
      <c r="O16" s="19">
        <v>8.1999999999999993</v>
      </c>
      <c r="P16" s="19">
        <v>0.01</v>
      </c>
      <c r="Q16" s="19">
        <v>11.25</v>
      </c>
      <c r="R16" s="19">
        <v>0.65</v>
      </c>
      <c r="S16" s="19">
        <v>0.33</v>
      </c>
      <c r="T16" s="19">
        <v>1</v>
      </c>
      <c r="U16" s="19">
        <v>2</v>
      </c>
      <c r="V16" s="19">
        <v>2</v>
      </c>
      <c r="W16" s="19">
        <v>2</v>
      </c>
      <c r="X16" s="19">
        <v>10</v>
      </c>
      <c r="Y16" s="19">
        <v>0</v>
      </c>
      <c r="Z16" s="19">
        <v>0</v>
      </c>
      <c r="AA16" s="19">
        <v>0</v>
      </c>
      <c r="AB16" s="19">
        <v>2</v>
      </c>
      <c r="AC16" s="19">
        <v>1</v>
      </c>
      <c r="AD16" s="19">
        <v>10</v>
      </c>
      <c r="AE16" s="19">
        <v>2</v>
      </c>
      <c r="AF16" s="19">
        <v>2</v>
      </c>
      <c r="AG16" s="19">
        <v>20</v>
      </c>
      <c r="AH16" s="55">
        <v>2</v>
      </c>
      <c r="AI16" s="14">
        <v>20</v>
      </c>
      <c r="AJ16" s="92">
        <v>22.31</v>
      </c>
      <c r="AK16" s="14">
        <v>7.69</v>
      </c>
      <c r="AL16" s="14">
        <v>1.3</v>
      </c>
      <c r="AM16" s="14">
        <v>5</v>
      </c>
      <c r="AN16" s="14">
        <v>2</v>
      </c>
      <c r="AO16" s="14">
        <v>50</v>
      </c>
      <c r="AP16" s="55">
        <v>10</v>
      </c>
      <c r="AQ16" s="14">
        <v>30</v>
      </c>
      <c r="AR16" s="92">
        <v>22.31</v>
      </c>
      <c r="AS16" s="14">
        <v>7.69</v>
      </c>
      <c r="AT16" s="14">
        <v>1.3</v>
      </c>
      <c r="AU16" s="14">
        <v>5</v>
      </c>
      <c r="AV16" s="14">
        <v>2</v>
      </c>
      <c r="AW16" s="14">
        <v>50</v>
      </c>
      <c r="AX16" s="55">
        <v>10</v>
      </c>
      <c r="AY16" s="93">
        <v>10</v>
      </c>
      <c r="AZ16" s="14">
        <v>25.45</v>
      </c>
      <c r="BA16" s="14">
        <v>8.18</v>
      </c>
      <c r="BB16" s="19">
        <v>1.1000000000000001</v>
      </c>
      <c r="BC16" s="19">
        <v>5</v>
      </c>
      <c r="BD16" s="19">
        <v>24</v>
      </c>
      <c r="BE16" s="19">
        <v>50</v>
      </c>
      <c r="BF16" s="54">
        <v>10</v>
      </c>
      <c r="BG16" s="93">
        <v>30</v>
      </c>
      <c r="BH16" s="19">
        <v>27.1</v>
      </c>
      <c r="BI16" s="19">
        <v>6.0119999999999996</v>
      </c>
      <c r="BJ16" s="19">
        <v>1.33</v>
      </c>
      <c r="BK16" s="14">
        <v>5</v>
      </c>
      <c r="BL16" s="14">
        <v>20</v>
      </c>
      <c r="BM16" s="14">
        <v>50</v>
      </c>
      <c r="BN16" s="55">
        <v>10</v>
      </c>
      <c r="BO16" s="93">
        <v>40</v>
      </c>
      <c r="BP16" s="19">
        <v>12.37</v>
      </c>
      <c r="BQ16" s="14">
        <v>4.84</v>
      </c>
      <c r="BR16" s="19">
        <v>1.86</v>
      </c>
      <c r="BS16" s="19">
        <v>5</v>
      </c>
      <c r="BT16" s="19">
        <v>23</v>
      </c>
      <c r="BU16" s="19">
        <v>50</v>
      </c>
      <c r="BV16" s="54">
        <v>10</v>
      </c>
    </row>
    <row r="17" spans="1:74" x14ac:dyDescent="0.3">
      <c r="A17" s="8" t="s">
        <v>297</v>
      </c>
      <c r="B17">
        <v>7</v>
      </c>
      <c r="C17">
        <v>0.192</v>
      </c>
      <c r="D17" s="14">
        <v>20</v>
      </c>
      <c r="E17" s="19">
        <v>0</v>
      </c>
      <c r="F17">
        <v>5.2</v>
      </c>
      <c r="G17" s="14">
        <v>0.01</v>
      </c>
      <c r="H17" s="20">
        <v>0.25</v>
      </c>
      <c r="I17" s="19">
        <v>8.56</v>
      </c>
      <c r="J17" s="19">
        <v>0</v>
      </c>
      <c r="K17" s="19">
        <v>200</v>
      </c>
      <c r="L17" s="19">
        <v>50</v>
      </c>
      <c r="M17" s="19">
        <v>0.5</v>
      </c>
      <c r="N17" s="19">
        <v>26</v>
      </c>
      <c r="O17" s="19">
        <v>8.1999999999999993</v>
      </c>
      <c r="P17" s="19">
        <v>0.01</v>
      </c>
      <c r="Q17" s="19">
        <v>11.25</v>
      </c>
      <c r="R17" s="19">
        <v>0.65</v>
      </c>
      <c r="S17" s="19">
        <v>0.33</v>
      </c>
      <c r="T17" s="19">
        <v>1</v>
      </c>
      <c r="U17" s="19">
        <v>2</v>
      </c>
      <c r="V17" s="19">
        <v>2</v>
      </c>
      <c r="W17" s="19">
        <v>2</v>
      </c>
      <c r="X17" s="19">
        <v>10</v>
      </c>
      <c r="Y17" s="19">
        <v>0</v>
      </c>
      <c r="Z17" s="19">
        <v>0</v>
      </c>
      <c r="AA17" s="19">
        <v>0</v>
      </c>
      <c r="AB17" s="19">
        <v>2</v>
      </c>
      <c r="AC17" s="19">
        <v>1</v>
      </c>
      <c r="AD17" s="19">
        <v>10</v>
      </c>
      <c r="AE17" s="19">
        <v>2</v>
      </c>
      <c r="AF17" s="19">
        <v>2</v>
      </c>
      <c r="AG17" s="19">
        <v>20</v>
      </c>
      <c r="AH17" s="55">
        <v>2</v>
      </c>
      <c r="AI17" s="14">
        <v>20</v>
      </c>
      <c r="AJ17" s="14">
        <v>29.36</v>
      </c>
      <c r="AK17" s="14">
        <v>8.26</v>
      </c>
      <c r="AL17" s="14">
        <v>1.0900000000000001</v>
      </c>
      <c r="AM17" s="14">
        <v>5</v>
      </c>
      <c r="AN17" s="14">
        <v>2</v>
      </c>
      <c r="AO17" s="14">
        <v>50</v>
      </c>
      <c r="AP17" s="55">
        <v>10</v>
      </c>
      <c r="AQ17" s="14">
        <v>30</v>
      </c>
      <c r="AR17" s="14">
        <v>29.36</v>
      </c>
      <c r="AS17" s="14">
        <v>8.26</v>
      </c>
      <c r="AT17" s="14">
        <v>1.0900000000000001</v>
      </c>
      <c r="AU17" s="14">
        <v>5</v>
      </c>
      <c r="AV17" s="14">
        <v>2</v>
      </c>
      <c r="AW17" s="19">
        <v>50</v>
      </c>
      <c r="AX17" s="54">
        <v>10</v>
      </c>
      <c r="AY17" s="14">
        <v>13</v>
      </c>
      <c r="AZ17" s="14">
        <v>21.48</v>
      </c>
      <c r="BA17" s="14">
        <v>5.93</v>
      </c>
      <c r="BB17" s="14">
        <v>1.35</v>
      </c>
      <c r="BC17" s="19">
        <v>5</v>
      </c>
      <c r="BD17" s="19">
        <v>8</v>
      </c>
      <c r="BE17" s="19">
        <v>50</v>
      </c>
      <c r="BF17" s="54">
        <v>10</v>
      </c>
      <c r="BG17" s="14">
        <v>20</v>
      </c>
      <c r="BH17" s="14">
        <v>14.94</v>
      </c>
      <c r="BI17" s="14">
        <v>3.2480000000000002</v>
      </c>
      <c r="BJ17" s="14">
        <v>1.54</v>
      </c>
      <c r="BK17" s="14">
        <v>5</v>
      </c>
      <c r="BL17" s="14">
        <v>21</v>
      </c>
      <c r="BM17" s="14">
        <v>50</v>
      </c>
      <c r="BN17" s="55">
        <v>10</v>
      </c>
      <c r="BO17" s="14">
        <v>31</v>
      </c>
      <c r="BP17" s="14">
        <v>14.94</v>
      </c>
      <c r="BQ17" s="14">
        <v>2.597</v>
      </c>
      <c r="BR17" s="14">
        <v>1.54</v>
      </c>
      <c r="BS17" s="19">
        <v>5</v>
      </c>
      <c r="BT17" s="19">
        <v>12</v>
      </c>
      <c r="BU17" s="19">
        <v>50</v>
      </c>
      <c r="BV17" s="54">
        <v>10</v>
      </c>
    </row>
    <row r="18" spans="1:74" x14ac:dyDescent="0.3">
      <c r="A18" s="8" t="s">
        <v>298</v>
      </c>
      <c r="B18">
        <v>7</v>
      </c>
      <c r="C18">
        <v>0.121</v>
      </c>
      <c r="D18" s="14">
        <v>20</v>
      </c>
      <c r="E18" s="19">
        <v>0</v>
      </c>
      <c r="F18">
        <v>4.9000000000000004</v>
      </c>
      <c r="G18" s="14">
        <v>0.01</v>
      </c>
      <c r="H18" s="20">
        <v>0.25</v>
      </c>
      <c r="I18" s="19">
        <v>8.56</v>
      </c>
      <c r="J18" s="19">
        <v>0</v>
      </c>
      <c r="K18" s="19">
        <v>200</v>
      </c>
      <c r="L18" s="19">
        <v>50</v>
      </c>
      <c r="M18" s="19">
        <v>0.5</v>
      </c>
      <c r="N18" s="19">
        <v>26</v>
      </c>
      <c r="O18" s="19">
        <v>8.1999999999999993</v>
      </c>
      <c r="P18" s="19">
        <v>0.01</v>
      </c>
      <c r="Q18" s="19">
        <v>11.25</v>
      </c>
      <c r="R18" s="19">
        <v>0.65</v>
      </c>
      <c r="S18" s="19">
        <v>0.33</v>
      </c>
      <c r="T18" s="19">
        <v>1</v>
      </c>
      <c r="U18" s="19">
        <v>2</v>
      </c>
      <c r="V18" s="19">
        <v>2</v>
      </c>
      <c r="W18" s="19">
        <v>2</v>
      </c>
      <c r="X18" s="19">
        <v>10</v>
      </c>
      <c r="Y18" s="19">
        <v>0</v>
      </c>
      <c r="Z18" s="19">
        <v>0</v>
      </c>
      <c r="AA18" s="19">
        <v>0</v>
      </c>
      <c r="AB18" s="19">
        <v>2</v>
      </c>
      <c r="AC18" s="19">
        <v>1</v>
      </c>
      <c r="AD18" s="19">
        <v>10</v>
      </c>
      <c r="AE18" s="19">
        <v>2</v>
      </c>
      <c r="AF18" s="19">
        <v>2</v>
      </c>
      <c r="AG18" s="19">
        <v>20</v>
      </c>
      <c r="AH18" s="55">
        <v>2</v>
      </c>
      <c r="AI18" s="14">
        <v>20</v>
      </c>
      <c r="AJ18" s="14">
        <v>18</v>
      </c>
      <c r="AK18" s="14">
        <v>5.26</v>
      </c>
      <c r="AL18" s="14">
        <v>1.33</v>
      </c>
      <c r="AM18" s="14">
        <v>5</v>
      </c>
      <c r="AN18" s="14">
        <v>0</v>
      </c>
      <c r="AO18" s="14">
        <v>50</v>
      </c>
      <c r="AP18" s="55">
        <v>10</v>
      </c>
      <c r="AQ18" s="14">
        <v>30</v>
      </c>
      <c r="AR18" s="14">
        <v>18</v>
      </c>
      <c r="AS18" s="14">
        <v>5.26</v>
      </c>
      <c r="AT18" s="14">
        <v>1.33</v>
      </c>
      <c r="AU18" s="14">
        <v>5</v>
      </c>
      <c r="AV18" s="14">
        <v>0</v>
      </c>
      <c r="AW18" s="19">
        <v>50</v>
      </c>
      <c r="AX18" s="54">
        <v>10</v>
      </c>
      <c r="AY18" s="14">
        <v>13</v>
      </c>
      <c r="AZ18" s="14">
        <v>9.4</v>
      </c>
      <c r="BA18" s="14">
        <v>1.34</v>
      </c>
      <c r="BB18" s="14">
        <v>1.49</v>
      </c>
      <c r="BC18" s="19">
        <v>5</v>
      </c>
      <c r="BD18" s="19">
        <v>4</v>
      </c>
      <c r="BE18" s="19">
        <v>50</v>
      </c>
      <c r="BF18" s="54">
        <v>10</v>
      </c>
      <c r="BG18" s="14">
        <v>13</v>
      </c>
      <c r="BH18" s="14">
        <v>14.77</v>
      </c>
      <c r="BI18" s="14">
        <v>4.03</v>
      </c>
      <c r="BJ18" s="14">
        <v>1.49</v>
      </c>
      <c r="BK18" s="14">
        <v>5</v>
      </c>
      <c r="BL18" s="14">
        <v>0</v>
      </c>
      <c r="BM18" s="14">
        <v>50</v>
      </c>
      <c r="BN18" s="55">
        <v>10</v>
      </c>
      <c r="BO18" s="14">
        <v>15</v>
      </c>
      <c r="BP18" s="14">
        <v>11.18</v>
      </c>
      <c r="BQ18" s="14">
        <v>1.97</v>
      </c>
      <c r="BR18" s="14">
        <v>1.52</v>
      </c>
      <c r="BS18" s="19">
        <v>5</v>
      </c>
      <c r="BT18" s="19">
        <v>0</v>
      </c>
      <c r="BU18" s="19">
        <v>50</v>
      </c>
      <c r="BV18" s="54">
        <v>10</v>
      </c>
    </row>
    <row r="19" spans="1:74" x14ac:dyDescent="0.3">
      <c r="A19" s="8" t="s">
        <v>299</v>
      </c>
      <c r="B19">
        <v>11</v>
      </c>
      <c r="C19">
        <v>0.16600000000000001</v>
      </c>
      <c r="D19" s="14">
        <v>20</v>
      </c>
      <c r="E19" s="19">
        <v>0</v>
      </c>
      <c r="F19">
        <v>5.7</v>
      </c>
      <c r="G19" s="14">
        <v>0.01</v>
      </c>
      <c r="H19" s="20">
        <v>0.25</v>
      </c>
      <c r="I19" s="19">
        <v>7.8</v>
      </c>
      <c r="J19" s="19">
        <v>0</v>
      </c>
      <c r="K19" s="19">
        <v>200</v>
      </c>
      <c r="L19" s="19">
        <v>50</v>
      </c>
      <c r="M19" s="19">
        <v>0.5</v>
      </c>
      <c r="N19" s="19">
        <v>79</v>
      </c>
      <c r="O19" s="19">
        <v>1</v>
      </c>
      <c r="P19" s="19">
        <v>0.01</v>
      </c>
      <c r="Q19" s="19">
        <v>11.25</v>
      </c>
      <c r="R19" s="19">
        <v>0.65</v>
      </c>
      <c r="S19" s="19">
        <v>0.33</v>
      </c>
      <c r="T19" s="19">
        <v>1</v>
      </c>
      <c r="U19" s="19">
        <v>2</v>
      </c>
      <c r="V19" s="19">
        <v>2</v>
      </c>
      <c r="W19" s="19">
        <v>2</v>
      </c>
      <c r="X19" s="19">
        <v>10</v>
      </c>
      <c r="Y19" s="19">
        <v>0</v>
      </c>
      <c r="Z19" s="19">
        <v>0</v>
      </c>
      <c r="AA19" s="19">
        <v>0</v>
      </c>
      <c r="AB19" s="19">
        <v>2</v>
      </c>
      <c r="AC19" s="19">
        <v>1</v>
      </c>
      <c r="AD19" s="19">
        <v>10</v>
      </c>
      <c r="AE19" s="19">
        <v>2</v>
      </c>
      <c r="AF19" s="19">
        <v>2</v>
      </c>
      <c r="AG19" s="19">
        <v>20</v>
      </c>
      <c r="AH19" s="55">
        <v>2</v>
      </c>
      <c r="AI19" s="14">
        <v>20</v>
      </c>
      <c r="AJ19" s="92">
        <v>16.73</v>
      </c>
      <c r="AK19" s="14">
        <v>5.77</v>
      </c>
      <c r="AL19" s="14">
        <v>1.3</v>
      </c>
      <c r="AM19" s="14">
        <v>5</v>
      </c>
      <c r="AN19" s="14">
        <v>2</v>
      </c>
      <c r="AO19" s="14">
        <v>50</v>
      </c>
      <c r="AP19" s="55">
        <v>10</v>
      </c>
      <c r="AQ19" s="14">
        <v>30</v>
      </c>
      <c r="AR19" s="92">
        <v>16.73</v>
      </c>
      <c r="AS19" s="14">
        <v>5.77</v>
      </c>
      <c r="AT19" s="14">
        <v>1.3</v>
      </c>
      <c r="AU19" s="14">
        <v>5</v>
      </c>
      <c r="AV19" s="14">
        <v>2</v>
      </c>
      <c r="AW19" s="14">
        <v>50</v>
      </c>
      <c r="AX19" s="55">
        <v>10</v>
      </c>
      <c r="AY19" s="93">
        <v>10</v>
      </c>
      <c r="AZ19" s="14">
        <v>25.45</v>
      </c>
      <c r="BA19" s="14">
        <v>8.18</v>
      </c>
      <c r="BB19" s="19">
        <v>1.1000000000000001</v>
      </c>
      <c r="BC19" s="19">
        <v>5</v>
      </c>
      <c r="BD19" s="19">
        <v>24</v>
      </c>
      <c r="BE19" s="19">
        <v>50</v>
      </c>
      <c r="BF19" s="54">
        <v>10</v>
      </c>
      <c r="BG19" s="93">
        <v>30</v>
      </c>
      <c r="BH19" s="19">
        <v>27.1</v>
      </c>
      <c r="BI19" s="19">
        <v>6.0119999999999996</v>
      </c>
      <c r="BJ19" s="19">
        <v>1.33</v>
      </c>
      <c r="BK19" s="14">
        <v>5</v>
      </c>
      <c r="BL19" s="14">
        <v>20</v>
      </c>
      <c r="BM19" s="14">
        <v>50</v>
      </c>
      <c r="BN19" s="55">
        <v>10</v>
      </c>
      <c r="BO19" s="93">
        <v>40</v>
      </c>
      <c r="BP19" s="19">
        <v>12.37</v>
      </c>
      <c r="BQ19" s="14">
        <v>4.84</v>
      </c>
      <c r="BR19" s="19">
        <v>1.86</v>
      </c>
      <c r="BS19" s="19">
        <v>5</v>
      </c>
      <c r="BT19" s="19">
        <v>23</v>
      </c>
      <c r="BU19" s="19">
        <v>50</v>
      </c>
      <c r="BV19" s="54">
        <v>10</v>
      </c>
    </row>
    <row r="20" spans="1:74" x14ac:dyDescent="0.3">
      <c r="A20" s="8" t="s">
        <v>300</v>
      </c>
      <c r="B20">
        <v>7</v>
      </c>
      <c r="C20">
        <v>0.192</v>
      </c>
      <c r="D20" s="14">
        <v>20</v>
      </c>
      <c r="E20" s="19">
        <v>0</v>
      </c>
      <c r="F20">
        <v>5.2</v>
      </c>
      <c r="G20" s="14">
        <v>0.01</v>
      </c>
      <c r="H20" s="20">
        <v>0.25</v>
      </c>
      <c r="I20" s="19">
        <v>7.1</v>
      </c>
      <c r="J20" s="19">
        <v>0</v>
      </c>
      <c r="K20" s="19">
        <v>200</v>
      </c>
      <c r="L20" s="19">
        <v>50</v>
      </c>
      <c r="M20" s="19">
        <v>0.5</v>
      </c>
      <c r="N20" s="19">
        <v>26</v>
      </c>
      <c r="O20" s="19">
        <v>8.1999999999999993</v>
      </c>
      <c r="P20" s="19">
        <v>0.01</v>
      </c>
      <c r="Q20" s="19">
        <v>11.25</v>
      </c>
      <c r="R20" s="19">
        <v>0.65</v>
      </c>
      <c r="S20" s="19">
        <v>0.33</v>
      </c>
      <c r="T20" s="19">
        <v>1</v>
      </c>
      <c r="U20" s="19">
        <v>2</v>
      </c>
      <c r="V20" s="19">
        <v>2</v>
      </c>
      <c r="W20" s="19">
        <v>2</v>
      </c>
      <c r="X20" s="19">
        <v>10</v>
      </c>
      <c r="Y20" s="19">
        <v>0</v>
      </c>
      <c r="Z20" s="19">
        <v>0</v>
      </c>
      <c r="AA20" s="19">
        <v>0</v>
      </c>
      <c r="AB20" s="19">
        <v>2</v>
      </c>
      <c r="AC20" s="19">
        <v>1</v>
      </c>
      <c r="AD20" s="19">
        <v>10</v>
      </c>
      <c r="AE20" s="19">
        <v>2</v>
      </c>
      <c r="AF20" s="19">
        <v>2</v>
      </c>
      <c r="AG20" s="19">
        <v>20</v>
      </c>
      <c r="AH20" s="55">
        <v>2</v>
      </c>
      <c r="AI20" s="14">
        <v>20</v>
      </c>
      <c r="AJ20" s="14">
        <v>22.02</v>
      </c>
      <c r="AK20" s="14">
        <v>6.2</v>
      </c>
      <c r="AL20" s="14">
        <v>1.0900000000000001</v>
      </c>
      <c r="AM20" s="14">
        <v>5</v>
      </c>
      <c r="AN20" s="14">
        <v>2</v>
      </c>
      <c r="AO20" s="14">
        <v>50</v>
      </c>
      <c r="AP20" s="55">
        <v>10</v>
      </c>
      <c r="AQ20" s="14">
        <v>30</v>
      </c>
      <c r="AR20" s="14">
        <v>22.02</v>
      </c>
      <c r="AS20" s="14">
        <v>6.2</v>
      </c>
      <c r="AT20" s="14">
        <v>1.0900000000000001</v>
      </c>
      <c r="AU20" s="14">
        <v>5</v>
      </c>
      <c r="AV20" s="14">
        <v>2</v>
      </c>
      <c r="AW20" s="19">
        <v>50</v>
      </c>
      <c r="AX20" s="54">
        <v>10</v>
      </c>
      <c r="AY20" s="14">
        <v>13</v>
      </c>
      <c r="AZ20" s="14">
        <v>21.48</v>
      </c>
      <c r="BA20" s="14">
        <v>5.93</v>
      </c>
      <c r="BB20" s="14">
        <v>1.35</v>
      </c>
      <c r="BC20" s="19">
        <v>5</v>
      </c>
      <c r="BD20" s="19">
        <v>8</v>
      </c>
      <c r="BE20" s="19">
        <v>50</v>
      </c>
      <c r="BF20" s="54">
        <v>10</v>
      </c>
      <c r="BG20" s="14">
        <v>20</v>
      </c>
      <c r="BH20" s="14">
        <v>14.94</v>
      </c>
      <c r="BI20" s="14">
        <v>3.2480000000000002</v>
      </c>
      <c r="BJ20" s="14">
        <v>1.54</v>
      </c>
      <c r="BK20" s="14">
        <v>5</v>
      </c>
      <c r="BL20" s="14">
        <v>21</v>
      </c>
      <c r="BM20" s="14">
        <v>50</v>
      </c>
      <c r="BN20" s="55">
        <v>10</v>
      </c>
      <c r="BO20" s="14">
        <v>31</v>
      </c>
      <c r="BP20" s="14">
        <v>14.94</v>
      </c>
      <c r="BQ20" s="14">
        <v>2.597</v>
      </c>
      <c r="BR20" s="14">
        <v>1.54</v>
      </c>
      <c r="BS20" s="19">
        <v>5</v>
      </c>
      <c r="BT20" s="19">
        <v>12</v>
      </c>
      <c r="BU20" s="19">
        <v>50</v>
      </c>
      <c r="BV20" s="54">
        <v>10</v>
      </c>
    </row>
    <row r="21" spans="1:74" x14ac:dyDescent="0.3">
      <c r="A21" s="8" t="s">
        <v>298</v>
      </c>
      <c r="B21">
        <v>7</v>
      </c>
      <c r="C21">
        <v>0.121</v>
      </c>
      <c r="D21" s="14">
        <v>20</v>
      </c>
      <c r="E21" s="19">
        <v>0</v>
      </c>
      <c r="F21">
        <v>4.9000000000000004</v>
      </c>
      <c r="G21" s="14">
        <v>0.01</v>
      </c>
      <c r="H21" s="20">
        <v>0.25</v>
      </c>
      <c r="I21" s="19">
        <v>7.8</v>
      </c>
      <c r="J21" s="19">
        <v>0</v>
      </c>
      <c r="K21" s="19">
        <v>200</v>
      </c>
      <c r="L21" s="19">
        <v>50</v>
      </c>
      <c r="M21" s="19">
        <v>0.5</v>
      </c>
      <c r="N21" s="19">
        <v>79</v>
      </c>
      <c r="O21" s="19">
        <v>1</v>
      </c>
      <c r="P21" s="19">
        <v>0.01</v>
      </c>
      <c r="Q21" s="19">
        <v>11.25</v>
      </c>
      <c r="R21" s="19">
        <v>0.65</v>
      </c>
      <c r="S21" s="19">
        <v>0.33</v>
      </c>
      <c r="T21" s="19">
        <v>1</v>
      </c>
      <c r="U21" s="19">
        <v>2</v>
      </c>
      <c r="V21" s="19">
        <v>2</v>
      </c>
      <c r="W21" s="19">
        <v>2</v>
      </c>
      <c r="X21" s="19">
        <v>10</v>
      </c>
      <c r="Y21" s="19">
        <v>0</v>
      </c>
      <c r="Z21" s="19">
        <v>0</v>
      </c>
      <c r="AA21" s="19">
        <v>0</v>
      </c>
      <c r="AB21" s="19">
        <v>2</v>
      </c>
      <c r="AC21" s="19">
        <v>1</v>
      </c>
      <c r="AD21" s="19">
        <v>10</v>
      </c>
      <c r="AE21" s="19">
        <v>2</v>
      </c>
      <c r="AF21" s="19">
        <v>2</v>
      </c>
      <c r="AG21" s="19">
        <v>20</v>
      </c>
      <c r="AH21" s="55">
        <v>2</v>
      </c>
      <c r="AI21" s="14">
        <v>20</v>
      </c>
      <c r="AJ21" s="14">
        <v>13.5</v>
      </c>
      <c r="AK21" s="14">
        <v>3.95</v>
      </c>
      <c r="AL21" s="14">
        <v>1.33</v>
      </c>
      <c r="AM21" s="14">
        <v>5</v>
      </c>
      <c r="AN21" s="14">
        <v>0</v>
      </c>
      <c r="AO21" s="14">
        <v>50</v>
      </c>
      <c r="AP21" s="55">
        <v>10</v>
      </c>
      <c r="AQ21" s="14">
        <v>30</v>
      </c>
      <c r="AR21" s="14">
        <v>13.5</v>
      </c>
      <c r="AS21" s="14">
        <v>3.95</v>
      </c>
      <c r="AT21" s="14">
        <v>1.33</v>
      </c>
      <c r="AU21" s="14">
        <v>5</v>
      </c>
      <c r="AV21" s="14">
        <v>0</v>
      </c>
      <c r="AW21" s="19">
        <v>50</v>
      </c>
      <c r="AX21" s="54">
        <v>10</v>
      </c>
      <c r="AY21" s="14">
        <v>13</v>
      </c>
      <c r="AZ21" s="14">
        <v>9.4</v>
      </c>
      <c r="BA21" s="14">
        <v>1.34</v>
      </c>
      <c r="BB21" s="14">
        <v>1.49</v>
      </c>
      <c r="BC21" s="19">
        <v>5</v>
      </c>
      <c r="BD21" s="19">
        <v>4</v>
      </c>
      <c r="BE21" s="19">
        <v>50</v>
      </c>
      <c r="BF21" s="54">
        <v>10</v>
      </c>
      <c r="BG21" s="14">
        <v>13</v>
      </c>
      <c r="BH21" s="14">
        <v>14.77</v>
      </c>
      <c r="BI21" s="14">
        <v>4.03</v>
      </c>
      <c r="BJ21" s="14">
        <v>1.49</v>
      </c>
      <c r="BK21" s="14">
        <v>5</v>
      </c>
      <c r="BL21" s="14">
        <v>0</v>
      </c>
      <c r="BM21" s="14">
        <v>50</v>
      </c>
      <c r="BN21" s="55">
        <v>10</v>
      </c>
      <c r="BO21" s="14">
        <v>15</v>
      </c>
      <c r="BP21" s="14">
        <v>11.18</v>
      </c>
      <c r="BQ21" s="14">
        <v>1.97</v>
      </c>
      <c r="BR21" s="14">
        <v>1.52</v>
      </c>
      <c r="BS21" s="19">
        <v>5</v>
      </c>
      <c r="BT21" s="19">
        <v>0</v>
      </c>
      <c r="BU21" s="19">
        <v>50</v>
      </c>
      <c r="BV21" s="54">
        <v>10</v>
      </c>
    </row>
  </sheetData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Z13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2" sqref="A22"/>
    </sheetView>
  </sheetViews>
  <sheetFormatPr defaultRowHeight="14.4" x14ac:dyDescent="0.3"/>
  <cols>
    <col min="1" max="1" width="53.21875" style="8" customWidth="1"/>
    <col min="2" max="2" width="8" customWidth="1"/>
    <col min="3" max="3" width="10" customWidth="1"/>
    <col min="4" max="4" width="6.88671875" customWidth="1"/>
    <col min="5" max="5" width="8.88671875" customWidth="1"/>
    <col min="6" max="6" width="9.109375" customWidth="1"/>
    <col min="7" max="7" width="10.5546875" customWidth="1"/>
    <col min="8" max="8" width="9" style="1" customWidth="1"/>
    <col min="9" max="9" width="8.6640625" customWidth="1"/>
    <col min="10" max="10" width="9.44140625" customWidth="1"/>
    <col min="11" max="11" width="10.109375" style="1" customWidth="1"/>
    <col min="12" max="12" width="5" customWidth="1"/>
    <col min="13" max="13" width="8.44140625" customWidth="1"/>
    <col min="14" max="14" width="10.5546875" customWidth="1"/>
    <col min="15" max="15" width="7.21875" customWidth="1"/>
    <col min="16" max="16" width="10.109375" style="1" customWidth="1"/>
    <col min="17" max="17" width="4.21875" customWidth="1"/>
    <col min="18" max="18" width="5" style="1" customWidth="1"/>
    <col min="19" max="19" width="4.109375" customWidth="1"/>
    <col min="20" max="20" width="4.6640625" style="1" customWidth="1"/>
    <col min="21" max="21" width="4.21875" customWidth="1"/>
    <col min="22" max="22" width="4" style="1" customWidth="1"/>
    <col min="23" max="23" width="4.5546875" customWidth="1"/>
    <col min="24" max="24" width="5" style="1" customWidth="1"/>
    <col min="25" max="25" width="4.21875" customWidth="1"/>
    <col min="26" max="26" width="9.6640625" style="1" customWidth="1"/>
    <col min="27" max="27" width="14.6640625" style="1" customWidth="1"/>
    <col min="28" max="28" width="15.88671875" customWidth="1"/>
    <col min="29" max="29" width="15.6640625" style="1" customWidth="1"/>
    <col min="30" max="30" width="9.109375" customWidth="1"/>
    <col min="31" max="31" width="9.109375" style="1" customWidth="1"/>
    <col min="32" max="32" width="9.109375" customWidth="1"/>
    <col min="33" max="33" width="9.109375" style="1" customWidth="1"/>
    <col min="34" max="34" width="9.109375" customWidth="1"/>
    <col min="35" max="35" width="9.109375" style="1" customWidth="1"/>
    <col min="36" max="36" width="9.109375" customWidth="1"/>
    <col min="37" max="37" width="9.109375" style="1" customWidth="1"/>
    <col min="38" max="38" width="9.109375" customWidth="1"/>
    <col min="39" max="39" width="9.109375" style="1" customWidth="1"/>
    <col min="40" max="40" width="9.109375" customWidth="1"/>
    <col min="41" max="41" width="9.109375" style="1" customWidth="1"/>
    <col min="42" max="42" width="9.109375" customWidth="1"/>
    <col min="43" max="43" width="9.109375" style="1" customWidth="1"/>
    <col min="44" max="44" width="9.109375" customWidth="1"/>
    <col min="45" max="45" width="9.109375" style="1" customWidth="1"/>
    <col min="46" max="46" width="9.109375" customWidth="1"/>
    <col min="47" max="47" width="9.109375" style="1" customWidth="1"/>
    <col min="48" max="48" width="9.109375" customWidth="1"/>
    <col min="49" max="49" width="9.109375" style="1" customWidth="1"/>
    <col min="50" max="50" width="9.109375" customWidth="1"/>
    <col min="51" max="51" width="9.109375" style="1" customWidth="1"/>
    <col min="52" max="52" width="9.109375" customWidth="1"/>
    <col min="53" max="53" width="9.109375" style="1" customWidth="1"/>
    <col min="54" max="54" width="17.88671875" customWidth="1"/>
    <col min="55" max="55" width="9.44140625" style="1" customWidth="1"/>
    <col min="56" max="56" width="21.6640625" style="1" customWidth="1"/>
    <col min="57" max="57" width="9.44140625" style="1" customWidth="1"/>
    <col min="58" max="58" width="21.6640625" customWidth="1"/>
    <col min="59" max="59" width="17.88671875" customWidth="1"/>
    <col min="60" max="61" width="9.44140625" style="1" customWidth="1"/>
    <col min="62" max="62" width="21.6640625" customWidth="1"/>
    <col min="63" max="63" width="17.88671875" customWidth="1"/>
    <col min="64" max="64" width="15.33203125" style="1" customWidth="1"/>
    <col min="65" max="65" width="16.44140625" style="1" customWidth="1"/>
    <col min="66" max="66" width="15.21875" style="1" customWidth="1"/>
    <col min="67" max="67" width="18.88671875" style="1" customWidth="1"/>
    <col min="68" max="68" width="10.5546875" customWidth="1"/>
    <col min="69" max="70" width="10.5546875" style="1" customWidth="1"/>
    <col min="71" max="71" width="30.77734375" style="1" customWidth="1"/>
    <col min="72" max="73" width="10.5546875" style="9" customWidth="1"/>
    <col min="74" max="74" width="16.33203125" customWidth="1"/>
    <col min="75" max="77" width="10.5546875" customWidth="1"/>
    <col min="78" max="78" width="10.5546875" style="8" customWidth="1"/>
    <col min="79" max="790" width="10.5546875" customWidth="1"/>
    <col min="791" max="1025" width="9.109375" customWidth="1"/>
  </cols>
  <sheetData>
    <row r="1" spans="1:78" ht="15" thickBot="1" x14ac:dyDescent="0.35">
      <c r="A1" s="46" t="s">
        <v>116</v>
      </c>
      <c r="B1" s="22" t="s">
        <v>117</v>
      </c>
      <c r="C1" s="22" t="s">
        <v>118</v>
      </c>
      <c r="D1" s="22" t="s">
        <v>119</v>
      </c>
      <c r="E1" s="22" t="s">
        <v>120</v>
      </c>
      <c r="F1" s="22" t="s">
        <v>121</v>
      </c>
      <c r="G1" s="22" t="s">
        <v>122</v>
      </c>
      <c r="H1" s="23" t="s">
        <v>123</v>
      </c>
      <c r="I1" s="47" t="s">
        <v>124</v>
      </c>
      <c r="J1" s="24" t="s">
        <v>125</v>
      </c>
      <c r="K1" s="48" t="s">
        <v>126</v>
      </c>
      <c r="L1" s="49" t="s">
        <v>127</v>
      </c>
      <c r="M1" s="49" t="s">
        <v>128</v>
      </c>
      <c r="N1" s="49" t="s">
        <v>129</v>
      </c>
      <c r="O1" s="25" t="s">
        <v>130</v>
      </c>
      <c r="P1" s="36" t="s">
        <v>131</v>
      </c>
      <c r="Q1" s="25" t="s">
        <v>132</v>
      </c>
      <c r="R1" s="25" t="s">
        <v>133</v>
      </c>
      <c r="S1" s="25" t="s">
        <v>134</v>
      </c>
      <c r="T1" s="25" t="s">
        <v>135</v>
      </c>
      <c r="U1" s="25" t="s">
        <v>136</v>
      </c>
      <c r="V1" s="25" t="s">
        <v>137</v>
      </c>
      <c r="W1" s="25" t="s">
        <v>138</v>
      </c>
      <c r="X1" s="25" t="s">
        <v>139</v>
      </c>
      <c r="Y1" s="94" t="s">
        <v>140</v>
      </c>
      <c r="Z1" s="105" t="s">
        <v>141</v>
      </c>
      <c r="AA1" s="96" t="s">
        <v>142</v>
      </c>
      <c r="AB1" s="21" t="s">
        <v>143</v>
      </c>
      <c r="AC1" s="26" t="s">
        <v>144</v>
      </c>
      <c r="AD1" s="27" t="s">
        <v>145</v>
      </c>
      <c r="AE1" s="28" t="s">
        <v>146</v>
      </c>
      <c r="AF1" s="29" t="s">
        <v>147</v>
      </c>
      <c r="AG1" s="30" t="s">
        <v>148</v>
      </c>
      <c r="AH1" s="27" t="s">
        <v>149</v>
      </c>
      <c r="AI1" s="28" t="s">
        <v>150</v>
      </c>
      <c r="AJ1" s="29" t="s">
        <v>151</v>
      </c>
      <c r="AK1" s="30" t="s">
        <v>152</v>
      </c>
      <c r="AL1" s="27" t="s">
        <v>153</v>
      </c>
      <c r="AM1" s="28" t="s">
        <v>154</v>
      </c>
      <c r="AN1" s="29" t="s">
        <v>155</v>
      </c>
      <c r="AO1" s="30" t="s">
        <v>156</v>
      </c>
      <c r="AP1" s="27" t="s">
        <v>157</v>
      </c>
      <c r="AQ1" s="28" t="s">
        <v>158</v>
      </c>
      <c r="AR1" s="29" t="s">
        <v>159</v>
      </c>
      <c r="AS1" s="30" t="s">
        <v>160</v>
      </c>
      <c r="AT1" s="27" t="s">
        <v>161</v>
      </c>
      <c r="AU1" s="28" t="s">
        <v>162</v>
      </c>
      <c r="AV1" s="29" t="s">
        <v>163</v>
      </c>
      <c r="AW1" s="30" t="s">
        <v>164</v>
      </c>
      <c r="AX1" s="27" t="s">
        <v>165</v>
      </c>
      <c r="AY1" s="28" t="s">
        <v>166</v>
      </c>
      <c r="AZ1" s="29" t="s">
        <v>167</v>
      </c>
      <c r="BA1" s="30" t="s">
        <v>168</v>
      </c>
      <c r="BB1" s="21" t="s">
        <v>169</v>
      </c>
      <c r="BC1" s="21" t="s">
        <v>170</v>
      </c>
      <c r="BD1" s="50" t="s">
        <v>171</v>
      </c>
      <c r="BE1" s="31" t="s">
        <v>172</v>
      </c>
      <c r="BF1" s="31" t="s">
        <v>173</v>
      </c>
      <c r="BG1" s="51" t="s">
        <v>174</v>
      </c>
      <c r="BH1" s="32" t="s">
        <v>175</v>
      </c>
      <c r="BI1" s="45" t="s">
        <v>176</v>
      </c>
      <c r="BJ1" s="42" t="s">
        <v>177</v>
      </c>
      <c r="BK1" s="42" t="s">
        <v>178</v>
      </c>
      <c r="BL1" s="41" t="s">
        <v>179</v>
      </c>
      <c r="BM1" s="31" t="s">
        <v>180</v>
      </c>
      <c r="BN1" s="32" t="s">
        <v>181</v>
      </c>
      <c r="BO1" s="34" t="s">
        <v>182</v>
      </c>
      <c r="BP1" s="34" t="s">
        <v>183</v>
      </c>
      <c r="BQ1" s="35" t="s">
        <v>184</v>
      </c>
      <c r="BR1" s="64" t="s">
        <v>185</v>
      </c>
      <c r="BS1" s="61" t="s">
        <v>186</v>
      </c>
      <c r="BT1" s="65" t="s">
        <v>187</v>
      </c>
      <c r="BU1" s="62" t="s">
        <v>188</v>
      </c>
      <c r="BV1" s="25" t="s">
        <v>189</v>
      </c>
      <c r="BW1" s="25" t="s">
        <v>190</v>
      </c>
      <c r="BX1" s="25" t="s">
        <v>191</v>
      </c>
      <c r="BY1" s="25" t="s">
        <v>192</v>
      </c>
      <c r="BZ1" s="36" t="s">
        <v>193</v>
      </c>
    </row>
    <row r="2" spans="1:78" x14ac:dyDescent="0.3">
      <c r="A2" s="104" t="s">
        <v>249</v>
      </c>
      <c r="B2" t="s">
        <v>239</v>
      </c>
      <c r="C2" t="s">
        <v>239</v>
      </c>
      <c r="D2" t="s">
        <v>239</v>
      </c>
      <c r="E2" t="s">
        <v>239</v>
      </c>
      <c r="F2" t="s">
        <v>239</v>
      </c>
      <c r="G2" t="s">
        <v>239</v>
      </c>
      <c r="H2" t="s">
        <v>239</v>
      </c>
      <c r="I2" s="43">
        <v>160</v>
      </c>
      <c r="J2" s="43">
        <v>0</v>
      </c>
      <c r="K2" s="43">
        <v>20</v>
      </c>
      <c r="L2" s="43">
        <v>160</v>
      </c>
      <c r="M2" s="43">
        <v>10</v>
      </c>
      <c r="N2" s="43">
        <v>3.2</v>
      </c>
      <c r="O2" s="43">
        <v>1</v>
      </c>
      <c r="P2" s="63">
        <v>2</v>
      </c>
      <c r="Q2" s="43">
        <v>999</v>
      </c>
      <c r="R2" s="43">
        <v>999</v>
      </c>
      <c r="S2" s="43">
        <v>999</v>
      </c>
      <c r="T2" s="43">
        <v>999</v>
      </c>
      <c r="U2" s="43">
        <v>999</v>
      </c>
      <c r="V2" s="43">
        <v>999</v>
      </c>
      <c r="W2" s="43">
        <v>999</v>
      </c>
      <c r="X2" s="43">
        <v>999</v>
      </c>
      <c r="Y2" s="43">
        <v>282</v>
      </c>
      <c r="Z2" s="43">
        <v>282</v>
      </c>
      <c r="AA2" s="43">
        <v>1</v>
      </c>
      <c r="AB2" s="43">
        <v>2</v>
      </c>
      <c r="AC2" s="43">
        <v>2</v>
      </c>
      <c r="AD2" s="43"/>
      <c r="AE2" s="52"/>
      <c r="AF2" s="43"/>
      <c r="AG2" s="52"/>
      <c r="AH2" s="43"/>
      <c r="AI2" s="52"/>
      <c r="AJ2" s="43"/>
      <c r="AK2" s="52"/>
      <c r="AL2" s="43"/>
      <c r="AM2" s="52"/>
      <c r="AN2" s="43"/>
      <c r="AO2" s="52"/>
      <c r="AP2" s="43"/>
      <c r="AQ2" s="52"/>
      <c r="AR2" s="43"/>
      <c r="AS2" s="52"/>
      <c r="AT2" s="43"/>
      <c r="AU2" s="52"/>
      <c r="AV2" s="43"/>
      <c r="AW2" s="52"/>
      <c r="AX2" s="43"/>
      <c r="AY2" s="52"/>
      <c r="AZ2" s="43"/>
      <c r="BA2" s="52"/>
      <c r="BB2" s="43">
        <v>1</v>
      </c>
      <c r="BC2" s="43">
        <v>0</v>
      </c>
      <c r="BD2" s="43">
        <v>100</v>
      </c>
      <c r="BE2" s="52">
        <v>0.11</v>
      </c>
      <c r="BF2" s="43">
        <v>2</v>
      </c>
      <c r="BG2" s="43">
        <v>1</v>
      </c>
      <c r="BH2" s="43">
        <v>100</v>
      </c>
      <c r="BI2" s="43">
        <v>3</v>
      </c>
      <c r="BJ2" s="43">
        <v>160</v>
      </c>
      <c r="BK2" s="43">
        <v>157</v>
      </c>
      <c r="BL2" s="43">
        <v>2</v>
      </c>
      <c r="BM2" s="43">
        <v>15</v>
      </c>
      <c r="BN2" s="43" t="s">
        <v>194</v>
      </c>
      <c r="BO2" s="43">
        <v>1</v>
      </c>
      <c r="BP2" s="43">
        <v>1</v>
      </c>
      <c r="BQ2" s="43">
        <v>7</v>
      </c>
      <c r="BR2" s="43">
        <v>1</v>
      </c>
      <c r="BS2" s="43">
        <v>15</v>
      </c>
      <c r="BT2" s="43">
        <v>1</v>
      </c>
      <c r="BU2" s="43">
        <v>1</v>
      </c>
      <c r="BV2" s="43">
        <v>1</v>
      </c>
      <c r="BW2" s="43">
        <v>0</v>
      </c>
      <c r="BX2" s="43">
        <v>0</v>
      </c>
      <c r="BY2" s="43"/>
      <c r="BZ2" s="53">
        <v>0</v>
      </c>
    </row>
    <row r="3" spans="1:78" x14ac:dyDescent="0.3">
      <c r="A3" s="8" t="s">
        <v>251</v>
      </c>
      <c r="B3" t="s">
        <v>239</v>
      </c>
      <c r="C3" t="s">
        <v>239</v>
      </c>
      <c r="D3" t="s">
        <v>239</v>
      </c>
      <c r="E3" t="s">
        <v>239</v>
      </c>
      <c r="F3" t="s">
        <v>239</v>
      </c>
      <c r="G3" t="s">
        <v>239</v>
      </c>
      <c r="H3" t="s">
        <v>239</v>
      </c>
      <c r="I3" s="43">
        <v>160</v>
      </c>
      <c r="J3" s="43">
        <v>0</v>
      </c>
      <c r="K3" s="43">
        <v>20</v>
      </c>
      <c r="L3" s="43">
        <v>160</v>
      </c>
      <c r="M3" s="43">
        <v>10</v>
      </c>
      <c r="N3" s="43">
        <v>3.2</v>
      </c>
      <c r="O3" s="43">
        <v>1</v>
      </c>
      <c r="P3" s="63">
        <v>2</v>
      </c>
      <c r="Q3" s="43">
        <v>999</v>
      </c>
      <c r="R3" s="43">
        <v>999</v>
      </c>
      <c r="S3" s="43">
        <v>999</v>
      </c>
      <c r="T3" s="43">
        <v>999</v>
      </c>
      <c r="U3" s="43">
        <v>999</v>
      </c>
      <c r="V3" s="43">
        <v>999</v>
      </c>
      <c r="W3" s="43">
        <v>999</v>
      </c>
      <c r="X3" s="43">
        <v>999</v>
      </c>
      <c r="Y3" s="43">
        <v>282</v>
      </c>
      <c r="Z3" s="43">
        <v>282</v>
      </c>
      <c r="AA3" s="43">
        <v>1</v>
      </c>
      <c r="AB3" s="43">
        <v>2</v>
      </c>
      <c r="AC3" s="43">
        <v>2</v>
      </c>
      <c r="AD3" s="43">
        <v>212</v>
      </c>
      <c r="AE3" s="1">
        <v>25</v>
      </c>
      <c r="AF3" s="43">
        <v>219</v>
      </c>
      <c r="AG3" s="1">
        <v>25</v>
      </c>
      <c r="AH3" s="43">
        <v>222</v>
      </c>
      <c r="AI3" s="1">
        <v>20</v>
      </c>
      <c r="AJ3" s="43">
        <v>226</v>
      </c>
      <c r="AK3" s="1">
        <v>18</v>
      </c>
      <c r="AL3" s="43">
        <v>234</v>
      </c>
      <c r="AM3" s="1">
        <v>45</v>
      </c>
      <c r="AN3" s="43">
        <v>240</v>
      </c>
      <c r="AO3" s="1">
        <v>5</v>
      </c>
      <c r="BB3" s="43">
        <v>1</v>
      </c>
      <c r="BC3" s="43">
        <v>0</v>
      </c>
      <c r="BD3" s="43">
        <v>100</v>
      </c>
      <c r="BE3" s="43">
        <v>0.11</v>
      </c>
      <c r="BF3" s="43">
        <v>2</v>
      </c>
      <c r="BG3" s="43">
        <v>1</v>
      </c>
      <c r="BH3" s="43">
        <v>100</v>
      </c>
      <c r="BI3" s="43">
        <v>3</v>
      </c>
      <c r="BJ3" s="43">
        <v>160</v>
      </c>
      <c r="BK3" s="43">
        <v>157</v>
      </c>
      <c r="BL3" s="43">
        <v>2</v>
      </c>
      <c r="BM3" s="43">
        <v>15</v>
      </c>
      <c r="BN3" s="43" t="s">
        <v>194</v>
      </c>
      <c r="BO3" s="43">
        <v>1</v>
      </c>
      <c r="BP3" s="43">
        <v>1</v>
      </c>
      <c r="BQ3" s="43">
        <v>7</v>
      </c>
      <c r="BR3" s="43">
        <v>1</v>
      </c>
      <c r="BS3" s="43">
        <v>15</v>
      </c>
      <c r="BT3" s="43">
        <v>1</v>
      </c>
      <c r="BU3" s="43">
        <v>1</v>
      </c>
      <c r="BV3" s="43">
        <v>1</v>
      </c>
      <c r="BW3" s="43">
        <v>0</v>
      </c>
      <c r="BX3" s="43">
        <v>0</v>
      </c>
      <c r="BY3" s="43"/>
      <c r="BZ3" s="95">
        <v>0</v>
      </c>
    </row>
    <row r="4" spans="1:78" x14ac:dyDescent="0.3">
      <c r="A4" s="8" t="s">
        <v>252</v>
      </c>
      <c r="B4" t="s">
        <v>239</v>
      </c>
      <c r="C4" t="s">
        <v>239</v>
      </c>
      <c r="D4" t="s">
        <v>239</v>
      </c>
      <c r="E4" t="s">
        <v>239</v>
      </c>
      <c r="F4" t="s">
        <v>239</v>
      </c>
      <c r="G4" t="s">
        <v>239</v>
      </c>
      <c r="H4" t="s">
        <v>239</v>
      </c>
      <c r="I4" s="43">
        <v>160</v>
      </c>
      <c r="J4" s="43">
        <v>0</v>
      </c>
      <c r="K4" s="43">
        <v>20</v>
      </c>
      <c r="L4" s="43">
        <v>160</v>
      </c>
      <c r="M4" s="43">
        <v>10</v>
      </c>
      <c r="N4" s="43">
        <v>3.2</v>
      </c>
      <c r="O4" s="43">
        <v>1</v>
      </c>
      <c r="P4" s="63">
        <v>2</v>
      </c>
      <c r="Q4" s="43">
        <v>999</v>
      </c>
      <c r="R4" s="43">
        <v>999</v>
      </c>
      <c r="S4" s="43">
        <v>999</v>
      </c>
      <c r="T4" s="43">
        <v>999</v>
      </c>
      <c r="U4" s="43">
        <v>999</v>
      </c>
      <c r="V4" s="43">
        <v>999</v>
      </c>
      <c r="W4" s="43">
        <v>999</v>
      </c>
      <c r="X4" s="43">
        <v>999</v>
      </c>
      <c r="Y4" s="43">
        <v>282</v>
      </c>
      <c r="Z4" s="43">
        <v>282</v>
      </c>
      <c r="AA4" s="43">
        <v>1</v>
      </c>
      <c r="AB4" s="43">
        <v>2</v>
      </c>
      <c r="AC4" s="43">
        <v>2</v>
      </c>
      <c r="AD4" s="43">
        <v>207</v>
      </c>
      <c r="AE4" s="1">
        <v>25</v>
      </c>
      <c r="AF4" s="43">
        <v>212</v>
      </c>
      <c r="AG4" s="1">
        <v>25</v>
      </c>
      <c r="AH4" s="43">
        <v>219</v>
      </c>
      <c r="AI4" s="1">
        <v>25</v>
      </c>
      <c r="AJ4" s="43">
        <v>222</v>
      </c>
      <c r="AK4" s="1">
        <v>20</v>
      </c>
      <c r="AL4" s="43">
        <v>226</v>
      </c>
      <c r="AM4" s="1">
        <v>23</v>
      </c>
      <c r="AN4" s="43">
        <v>234</v>
      </c>
      <c r="AO4" s="1">
        <v>55</v>
      </c>
      <c r="AP4" s="43">
        <v>240</v>
      </c>
      <c r="AQ4" s="1">
        <v>20</v>
      </c>
      <c r="BB4" s="43">
        <v>1</v>
      </c>
      <c r="BC4" s="43">
        <v>0</v>
      </c>
      <c r="BD4" s="43">
        <v>100</v>
      </c>
      <c r="BE4" s="63">
        <v>0.11</v>
      </c>
      <c r="BF4" s="43">
        <v>2</v>
      </c>
      <c r="BG4" s="43">
        <v>1</v>
      </c>
      <c r="BH4" s="43">
        <v>100</v>
      </c>
      <c r="BI4" s="43">
        <v>3</v>
      </c>
      <c r="BJ4" s="43">
        <v>160</v>
      </c>
      <c r="BK4" s="43">
        <v>157</v>
      </c>
      <c r="BL4" s="43">
        <v>2</v>
      </c>
      <c r="BM4" s="43">
        <v>15</v>
      </c>
      <c r="BN4" s="43" t="s">
        <v>194</v>
      </c>
      <c r="BO4" s="43">
        <v>1</v>
      </c>
      <c r="BP4" s="43">
        <v>1</v>
      </c>
      <c r="BQ4" s="43">
        <v>7</v>
      </c>
      <c r="BR4" s="43">
        <v>1</v>
      </c>
      <c r="BS4" s="43">
        <v>15</v>
      </c>
      <c r="BT4" s="43">
        <v>1</v>
      </c>
      <c r="BU4" s="43">
        <v>1</v>
      </c>
      <c r="BV4" s="43">
        <v>1</v>
      </c>
      <c r="BW4" s="43">
        <v>0</v>
      </c>
      <c r="BX4" s="43">
        <v>0</v>
      </c>
      <c r="BY4" s="43"/>
      <c r="BZ4" s="95">
        <v>0</v>
      </c>
    </row>
    <row r="5" spans="1:78" x14ac:dyDescent="0.3">
      <c r="A5" s="8" t="s">
        <v>277</v>
      </c>
      <c r="B5" t="s">
        <v>239</v>
      </c>
      <c r="C5" t="s">
        <v>239</v>
      </c>
      <c r="D5" t="s">
        <v>239</v>
      </c>
      <c r="E5" t="s">
        <v>239</v>
      </c>
      <c r="F5" t="s">
        <v>239</v>
      </c>
      <c r="G5" t="s">
        <v>239</v>
      </c>
      <c r="H5" t="s">
        <v>239</v>
      </c>
      <c r="I5" s="43">
        <v>150</v>
      </c>
      <c r="J5" s="43">
        <v>0</v>
      </c>
      <c r="K5" s="1">
        <v>20</v>
      </c>
      <c r="L5" s="43">
        <v>150</v>
      </c>
      <c r="M5" s="43">
        <v>10</v>
      </c>
      <c r="N5" s="43">
        <v>3.2</v>
      </c>
      <c r="O5" s="43">
        <v>1</v>
      </c>
      <c r="P5" s="1">
        <v>2</v>
      </c>
      <c r="Q5" s="43">
        <v>999</v>
      </c>
      <c r="R5" s="43">
        <v>999</v>
      </c>
      <c r="S5" s="43">
        <v>999</v>
      </c>
      <c r="T5" s="43">
        <v>999</v>
      </c>
      <c r="U5" s="43">
        <v>999</v>
      </c>
      <c r="V5" s="43">
        <v>999</v>
      </c>
      <c r="W5" s="43">
        <v>999</v>
      </c>
      <c r="X5" s="43">
        <v>999</v>
      </c>
      <c r="Y5" s="43">
        <v>289</v>
      </c>
      <c r="Z5" s="1">
        <v>289</v>
      </c>
      <c r="AA5" s="43">
        <v>1</v>
      </c>
      <c r="AB5" s="43">
        <v>2</v>
      </c>
      <c r="AC5" s="43">
        <v>2</v>
      </c>
      <c r="BB5" s="43">
        <v>1</v>
      </c>
      <c r="BC5" s="43">
        <v>0</v>
      </c>
      <c r="BD5" s="43">
        <v>100</v>
      </c>
      <c r="BE5" s="63">
        <v>0.11</v>
      </c>
      <c r="BF5" s="43">
        <v>2</v>
      </c>
      <c r="BG5" s="43">
        <v>1</v>
      </c>
      <c r="BH5" s="43">
        <v>100</v>
      </c>
      <c r="BI5" s="43">
        <v>3</v>
      </c>
      <c r="BJ5" s="43">
        <v>150</v>
      </c>
      <c r="BK5" s="43">
        <v>157</v>
      </c>
      <c r="BL5" s="43">
        <v>2</v>
      </c>
      <c r="BM5" s="43">
        <v>16</v>
      </c>
      <c r="BN5" s="43" t="s">
        <v>194</v>
      </c>
      <c r="BO5" s="43">
        <v>1</v>
      </c>
      <c r="BP5" s="43">
        <v>1</v>
      </c>
      <c r="BQ5" s="43">
        <v>7</v>
      </c>
      <c r="BR5" s="43">
        <v>1</v>
      </c>
      <c r="BS5" s="43">
        <v>15</v>
      </c>
      <c r="BT5" s="43">
        <v>1</v>
      </c>
      <c r="BU5" s="43">
        <v>1</v>
      </c>
      <c r="BV5" s="43">
        <v>1</v>
      </c>
      <c r="BW5" s="43">
        <v>0</v>
      </c>
      <c r="BX5" s="43">
        <v>0</v>
      </c>
      <c r="BY5" s="43"/>
      <c r="BZ5" s="95">
        <v>0</v>
      </c>
    </row>
    <row r="6" spans="1:78" x14ac:dyDescent="0.3">
      <c r="AA6" s="9"/>
      <c r="BD6" s="9"/>
      <c r="BI6" s="9"/>
    </row>
    <row r="7" spans="1:78" x14ac:dyDescent="0.3">
      <c r="AA7" s="9"/>
      <c r="BD7" s="9"/>
      <c r="BI7" s="9"/>
    </row>
    <row r="8" spans="1:78" x14ac:dyDescent="0.3">
      <c r="AA8" s="9"/>
      <c r="BD8" s="9"/>
      <c r="BI8" s="9"/>
    </row>
    <row r="9" spans="1:78" x14ac:dyDescent="0.3">
      <c r="AA9" s="9"/>
      <c r="BD9" s="9"/>
      <c r="BI9" s="9"/>
    </row>
    <row r="10" spans="1:78" x14ac:dyDescent="0.3">
      <c r="AA10" s="9"/>
      <c r="BD10" s="9"/>
      <c r="BI10" s="9"/>
    </row>
    <row r="11" spans="1:78" x14ac:dyDescent="0.3">
      <c r="AA11" s="9"/>
      <c r="BD11" s="9"/>
      <c r="BI11" s="9"/>
    </row>
    <row r="12" spans="1:78" x14ac:dyDescent="0.3">
      <c r="BD12" s="9"/>
      <c r="BI12" s="9"/>
    </row>
    <row r="13" spans="1:78" x14ac:dyDescent="0.3">
      <c r="BD13" s="9"/>
      <c r="BI13" s="9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R8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9" sqref="A9"/>
    </sheetView>
  </sheetViews>
  <sheetFormatPr defaultRowHeight="14.4" x14ac:dyDescent="0.3"/>
  <cols>
    <col min="1" max="1" width="17.5546875" style="8" customWidth="1"/>
    <col min="2" max="2" width="3.5546875" customWidth="1"/>
    <col min="3" max="4" width="7.21875" customWidth="1"/>
    <col min="5" max="5" width="8" customWidth="1"/>
    <col min="6" max="6" width="5.5546875" customWidth="1"/>
    <col min="7" max="7" width="5.6640625" style="1" customWidth="1"/>
    <col min="8" max="8" width="8.21875" customWidth="1"/>
    <col min="9" max="9" width="7.6640625" customWidth="1"/>
    <col min="10" max="10" width="13.5546875" customWidth="1"/>
    <col min="11" max="11" width="11.109375" customWidth="1"/>
    <col min="12" max="12" width="10" customWidth="1"/>
    <col min="13" max="13" width="8.6640625" customWidth="1"/>
    <col min="14" max="14" width="6.6640625" customWidth="1"/>
    <col min="15" max="15" width="6.5546875" customWidth="1"/>
    <col min="16" max="16" width="11.5546875" customWidth="1"/>
    <col min="17" max="17" width="9.44140625" customWidth="1"/>
    <col min="18" max="18" width="7.88671875" customWidth="1"/>
    <col min="19" max="19" width="8.88671875" customWidth="1"/>
    <col min="20" max="20" width="10.5546875" style="1" customWidth="1"/>
    <col min="21" max="21" width="3" customWidth="1"/>
    <col min="22" max="22" width="6.88671875" customWidth="1"/>
    <col min="23" max="23" width="6.6640625" customWidth="1"/>
    <col min="24" max="24" width="6.88671875" customWidth="1"/>
    <col min="25" max="25" width="11.6640625" customWidth="1"/>
    <col min="26" max="26" width="12.44140625" customWidth="1"/>
    <col min="27" max="27" width="9" style="1" customWidth="1"/>
    <col min="28" max="28" width="9.21875" customWidth="1"/>
    <col min="29" max="29" width="3.88671875" customWidth="1"/>
    <col min="30" max="30" width="4" customWidth="1"/>
    <col min="31" max="31" width="5.88671875" customWidth="1"/>
    <col min="32" max="32" width="6" customWidth="1"/>
    <col min="33" max="33" width="8.5546875" style="1" customWidth="1"/>
    <col min="34" max="43" width="9.33203125" customWidth="1"/>
    <col min="44" max="44" width="9.33203125" style="8" customWidth="1"/>
    <col min="45" max="1026" width="10.5546875" customWidth="1"/>
  </cols>
  <sheetData>
    <row r="1" spans="1:44" ht="15" thickBot="1" x14ac:dyDescent="0.35">
      <c r="A1" s="41" t="s">
        <v>195</v>
      </c>
      <c r="B1" s="33" t="s">
        <v>196</v>
      </c>
      <c r="C1" s="33" t="s">
        <v>197</v>
      </c>
      <c r="D1" s="33" t="s">
        <v>248</v>
      </c>
      <c r="E1" s="42" t="s">
        <v>198</v>
      </c>
      <c r="F1" s="33" t="s">
        <v>199</v>
      </c>
      <c r="G1" s="45" t="s">
        <v>200</v>
      </c>
      <c r="H1" s="44" t="s">
        <v>201</v>
      </c>
      <c r="I1" s="21" t="s">
        <v>202</v>
      </c>
      <c r="J1" s="21" t="s">
        <v>203</v>
      </c>
      <c r="K1" s="21" t="s">
        <v>204</v>
      </c>
      <c r="L1" s="21" t="s">
        <v>205</v>
      </c>
      <c r="M1" s="21" t="s">
        <v>206</v>
      </c>
      <c r="N1" s="21" t="s">
        <v>207</v>
      </c>
      <c r="O1" s="21" t="s">
        <v>208</v>
      </c>
      <c r="P1" s="21" t="s">
        <v>209</v>
      </c>
      <c r="Q1" s="21" t="s">
        <v>210</v>
      </c>
      <c r="R1" s="21" t="s">
        <v>211</v>
      </c>
      <c r="S1" s="21" t="s">
        <v>212</v>
      </c>
      <c r="T1" s="26" t="s">
        <v>213</v>
      </c>
      <c r="U1" s="37" t="s">
        <v>214</v>
      </c>
      <c r="V1" s="37" t="s">
        <v>215</v>
      </c>
      <c r="W1" s="37" t="s">
        <v>216</v>
      </c>
      <c r="X1" s="37" t="s">
        <v>217</v>
      </c>
      <c r="Y1" s="37" t="s">
        <v>218</v>
      </c>
      <c r="Z1" s="37" t="s">
        <v>219</v>
      </c>
      <c r="AA1" s="38" t="s">
        <v>220</v>
      </c>
      <c r="AB1" s="22" t="s">
        <v>221</v>
      </c>
      <c r="AC1" s="22" t="s">
        <v>222</v>
      </c>
      <c r="AD1" s="22" t="s">
        <v>223</v>
      </c>
      <c r="AE1" s="22" t="s">
        <v>224</v>
      </c>
      <c r="AF1" s="22" t="s">
        <v>225</v>
      </c>
      <c r="AG1" s="23" t="s">
        <v>226</v>
      </c>
      <c r="AH1" s="39" t="s">
        <v>227</v>
      </c>
      <c r="AI1" s="39" t="s">
        <v>228</v>
      </c>
      <c r="AJ1" s="39" t="s">
        <v>229</v>
      </c>
      <c r="AK1" s="39" t="s">
        <v>230</v>
      </c>
      <c r="AL1" s="39" t="s">
        <v>231</v>
      </c>
      <c r="AM1" s="39" t="s">
        <v>232</v>
      </c>
      <c r="AN1" s="39" t="s">
        <v>233</v>
      </c>
      <c r="AO1" s="39" t="s">
        <v>234</v>
      </c>
      <c r="AP1" s="39" t="s">
        <v>235</v>
      </c>
      <c r="AQ1" s="39" t="s">
        <v>236</v>
      </c>
      <c r="AR1" s="40" t="s">
        <v>237</v>
      </c>
    </row>
    <row r="2" spans="1:44" x14ac:dyDescent="0.3">
      <c r="A2" s="114" t="s">
        <v>283</v>
      </c>
      <c r="B2" s="43">
        <v>2.5</v>
      </c>
      <c r="C2" s="43">
        <v>0</v>
      </c>
      <c r="D2" s="43">
        <v>0</v>
      </c>
      <c r="E2" s="43">
        <v>46.44</v>
      </c>
      <c r="F2" s="43">
        <v>1000</v>
      </c>
      <c r="G2" s="52">
        <v>8</v>
      </c>
      <c r="H2" s="43">
        <v>3</v>
      </c>
      <c r="I2" s="43">
        <v>1.26</v>
      </c>
      <c r="J2" s="43">
        <v>1</v>
      </c>
      <c r="K2" s="43">
        <v>1</v>
      </c>
      <c r="L2" s="43">
        <v>440</v>
      </c>
      <c r="M2" s="43">
        <v>800</v>
      </c>
      <c r="N2" s="43">
        <v>-0.5</v>
      </c>
      <c r="O2" s="43">
        <v>-0.55000000000000004</v>
      </c>
      <c r="P2" s="43">
        <v>500</v>
      </c>
      <c r="Q2" s="43">
        <v>1.3</v>
      </c>
      <c r="R2" s="43">
        <v>0.8</v>
      </c>
      <c r="S2" s="43">
        <v>1</v>
      </c>
      <c r="T2" s="43">
        <v>-1.4</v>
      </c>
      <c r="U2" s="43">
        <v>50</v>
      </c>
      <c r="V2" s="43">
        <v>0.23</v>
      </c>
      <c r="W2" s="43">
        <v>0.18</v>
      </c>
      <c r="X2" s="43">
        <v>0.62</v>
      </c>
      <c r="Y2" s="43">
        <v>1</v>
      </c>
      <c r="Z2" s="43">
        <v>1</v>
      </c>
      <c r="AA2" s="43">
        <v>2</v>
      </c>
      <c r="AB2" s="43">
        <v>0.7</v>
      </c>
      <c r="AC2" s="43">
        <v>6</v>
      </c>
      <c r="AD2" s="43">
        <v>0.5</v>
      </c>
      <c r="AE2" s="43">
        <v>0.16</v>
      </c>
      <c r="AF2" s="43">
        <v>4.0000000000000001E-3</v>
      </c>
      <c r="AG2" s="43">
        <v>0.59</v>
      </c>
      <c r="AH2" s="43">
        <v>-2</v>
      </c>
      <c r="AI2" s="43">
        <v>1</v>
      </c>
      <c r="AJ2" s="43">
        <v>1.5</v>
      </c>
      <c r="AK2" s="43">
        <v>2</v>
      </c>
      <c r="AL2" s="43">
        <v>0.5</v>
      </c>
      <c r="AM2" s="43">
        <v>0.01</v>
      </c>
      <c r="AN2" s="43">
        <v>100</v>
      </c>
      <c r="AO2" s="43">
        <v>0.02</v>
      </c>
      <c r="AP2" s="43">
        <v>10</v>
      </c>
      <c r="AQ2" s="43">
        <v>-0.5</v>
      </c>
      <c r="AR2" s="43">
        <v>0</v>
      </c>
    </row>
    <row r="3" spans="1:44" x14ac:dyDescent="0.3">
      <c r="A3" s="8" t="s">
        <v>284</v>
      </c>
      <c r="B3" s="43">
        <v>2.5</v>
      </c>
      <c r="C3" s="43">
        <v>0</v>
      </c>
      <c r="D3" s="43">
        <v>0</v>
      </c>
      <c r="E3">
        <v>46.34</v>
      </c>
      <c r="F3" s="43">
        <v>1000</v>
      </c>
      <c r="G3" s="1">
        <v>9</v>
      </c>
      <c r="H3" s="43">
        <v>3</v>
      </c>
      <c r="I3" s="43">
        <v>1.26</v>
      </c>
      <c r="J3" s="43">
        <v>1</v>
      </c>
      <c r="K3" s="43">
        <v>1</v>
      </c>
      <c r="L3" s="43">
        <v>440</v>
      </c>
      <c r="M3" s="43">
        <v>800</v>
      </c>
      <c r="N3" s="43">
        <v>-0.5</v>
      </c>
      <c r="O3" s="43">
        <v>-0.55000000000000004</v>
      </c>
      <c r="P3" s="43">
        <v>500</v>
      </c>
      <c r="Q3" s="43">
        <v>1.3</v>
      </c>
      <c r="R3" s="43">
        <v>0.8</v>
      </c>
      <c r="S3" s="43">
        <v>1</v>
      </c>
      <c r="T3" s="43">
        <v>-1.4</v>
      </c>
      <c r="U3" s="43">
        <v>50</v>
      </c>
      <c r="V3" s="43">
        <v>0.23</v>
      </c>
      <c r="W3" s="43">
        <v>0.18</v>
      </c>
      <c r="X3" s="43">
        <v>0.62</v>
      </c>
      <c r="Y3" s="43">
        <v>1</v>
      </c>
      <c r="Z3" s="43">
        <v>1</v>
      </c>
      <c r="AA3" s="43">
        <v>2</v>
      </c>
      <c r="AB3" s="43">
        <v>0.7</v>
      </c>
      <c r="AC3" s="43">
        <v>6</v>
      </c>
      <c r="AD3" s="43">
        <v>0.5</v>
      </c>
      <c r="AE3" s="43">
        <v>0.16</v>
      </c>
      <c r="AF3" s="43">
        <v>4.0000000000000001E-3</v>
      </c>
      <c r="AG3" s="43">
        <v>0.59</v>
      </c>
      <c r="AH3" s="43">
        <v>-2</v>
      </c>
      <c r="AI3" s="43">
        <v>1</v>
      </c>
      <c r="AJ3" s="43">
        <v>1.5</v>
      </c>
      <c r="AK3" s="43">
        <v>2</v>
      </c>
      <c r="AL3" s="43">
        <v>0.5</v>
      </c>
      <c r="AM3" s="43">
        <v>0.01</v>
      </c>
      <c r="AN3" s="43">
        <v>100</v>
      </c>
      <c r="AO3" s="43">
        <v>0.02</v>
      </c>
      <c r="AP3" s="43">
        <v>10</v>
      </c>
      <c r="AQ3" s="43">
        <v>-0.5</v>
      </c>
      <c r="AR3" s="43">
        <v>0</v>
      </c>
    </row>
    <row r="4" spans="1:44" x14ac:dyDescent="0.3">
      <c r="A4" s="8" t="s">
        <v>285</v>
      </c>
      <c r="B4" s="43">
        <v>2.5</v>
      </c>
      <c r="C4" s="43">
        <v>0</v>
      </c>
      <c r="D4" s="43">
        <v>0</v>
      </c>
      <c r="E4">
        <v>46.46</v>
      </c>
      <c r="F4" s="43">
        <v>1000</v>
      </c>
      <c r="G4" s="1">
        <v>8</v>
      </c>
      <c r="H4" s="43">
        <v>3</v>
      </c>
      <c r="I4" s="43">
        <v>1.26</v>
      </c>
      <c r="J4" s="43">
        <v>1</v>
      </c>
      <c r="K4" s="43">
        <v>1</v>
      </c>
      <c r="L4" s="43">
        <v>440</v>
      </c>
      <c r="M4" s="43">
        <v>800</v>
      </c>
      <c r="N4" s="43">
        <v>-0.5</v>
      </c>
      <c r="O4" s="43">
        <v>-0.55000000000000004</v>
      </c>
      <c r="P4" s="43">
        <v>500</v>
      </c>
      <c r="Q4" s="43">
        <v>1.3</v>
      </c>
      <c r="R4" s="43">
        <v>0.8</v>
      </c>
      <c r="S4" s="43">
        <v>1</v>
      </c>
      <c r="T4" s="43">
        <v>-1.4</v>
      </c>
      <c r="U4" s="43">
        <v>50</v>
      </c>
      <c r="V4" s="43">
        <v>0.23</v>
      </c>
      <c r="W4" s="43">
        <v>0.18</v>
      </c>
      <c r="X4" s="43">
        <v>0.62</v>
      </c>
      <c r="Y4" s="43">
        <v>1</v>
      </c>
      <c r="Z4" s="43">
        <v>1</v>
      </c>
      <c r="AA4" s="43">
        <v>2</v>
      </c>
      <c r="AB4" s="43">
        <v>0.7</v>
      </c>
      <c r="AC4" s="43">
        <v>6</v>
      </c>
      <c r="AD4" s="43">
        <v>0.5</v>
      </c>
      <c r="AE4" s="43">
        <v>0.16</v>
      </c>
      <c r="AF4" s="43">
        <v>4.0000000000000001E-3</v>
      </c>
      <c r="AG4" s="43">
        <v>0.59</v>
      </c>
      <c r="AH4" s="43">
        <v>-2</v>
      </c>
      <c r="AI4" s="43">
        <v>1</v>
      </c>
      <c r="AJ4" s="43">
        <v>1.5</v>
      </c>
      <c r="AK4" s="43">
        <v>2</v>
      </c>
      <c r="AL4" s="43">
        <v>0.5</v>
      </c>
      <c r="AM4" s="43">
        <v>0.01</v>
      </c>
      <c r="AN4" s="43">
        <v>100</v>
      </c>
      <c r="AO4" s="43">
        <v>0.02</v>
      </c>
      <c r="AP4" s="43">
        <v>10</v>
      </c>
      <c r="AQ4" s="43">
        <v>-0.5</v>
      </c>
      <c r="AR4" s="43">
        <v>0</v>
      </c>
    </row>
    <row r="5" spans="1:44" x14ac:dyDescent="0.3">
      <c r="A5" s="8" t="s">
        <v>286</v>
      </c>
      <c r="B5" s="43">
        <v>2.5</v>
      </c>
      <c r="C5" s="43">
        <v>0</v>
      </c>
      <c r="D5" s="43">
        <v>0</v>
      </c>
      <c r="E5">
        <v>46.41</v>
      </c>
      <c r="F5" s="43">
        <v>1000</v>
      </c>
      <c r="G5" s="1">
        <v>10</v>
      </c>
      <c r="H5" s="43">
        <v>3</v>
      </c>
      <c r="I5" s="43">
        <v>1.26</v>
      </c>
      <c r="J5" s="43">
        <v>1</v>
      </c>
      <c r="K5" s="43">
        <v>1</v>
      </c>
      <c r="L5" s="43">
        <v>440</v>
      </c>
      <c r="M5" s="43">
        <v>800</v>
      </c>
      <c r="N5" s="43">
        <v>-0.5</v>
      </c>
      <c r="O5" s="43">
        <v>-0.55000000000000004</v>
      </c>
      <c r="P5" s="43">
        <v>500</v>
      </c>
      <c r="Q5" s="43">
        <v>1.3</v>
      </c>
      <c r="R5" s="43">
        <v>0.8</v>
      </c>
      <c r="S5" s="43">
        <v>1</v>
      </c>
      <c r="T5" s="43">
        <v>-1.4</v>
      </c>
      <c r="U5" s="43">
        <v>50</v>
      </c>
      <c r="V5" s="43">
        <v>0.23</v>
      </c>
      <c r="W5" s="43">
        <v>0.18</v>
      </c>
      <c r="X5" s="43">
        <v>0.62</v>
      </c>
      <c r="Y5" s="43">
        <v>1</v>
      </c>
      <c r="Z5" s="43">
        <v>1</v>
      </c>
      <c r="AA5" s="43">
        <v>2</v>
      </c>
      <c r="AB5" s="43">
        <v>0.7</v>
      </c>
      <c r="AC5" s="43">
        <v>6</v>
      </c>
      <c r="AD5" s="43">
        <v>0.5</v>
      </c>
      <c r="AE5" s="43">
        <v>0.16</v>
      </c>
      <c r="AF5" s="43">
        <v>4.0000000000000001E-3</v>
      </c>
      <c r="AG5" s="43">
        <v>0.59</v>
      </c>
      <c r="AH5" s="43">
        <v>-2</v>
      </c>
      <c r="AI5" s="43">
        <v>1</v>
      </c>
      <c r="AJ5" s="43">
        <v>1.5</v>
      </c>
      <c r="AK5" s="43">
        <v>2</v>
      </c>
      <c r="AL5" s="43">
        <v>0.5</v>
      </c>
      <c r="AM5" s="43">
        <v>0.01</v>
      </c>
      <c r="AN5" s="43">
        <v>100</v>
      </c>
      <c r="AO5" s="43">
        <v>0.02</v>
      </c>
      <c r="AP5" s="43">
        <v>10</v>
      </c>
      <c r="AQ5" s="43">
        <v>-0.5</v>
      </c>
      <c r="AR5" s="43">
        <v>0</v>
      </c>
    </row>
    <row r="6" spans="1:44" x14ac:dyDescent="0.3">
      <c r="A6" s="8" t="s">
        <v>287</v>
      </c>
      <c r="B6" s="43">
        <v>2.5</v>
      </c>
      <c r="C6" s="43">
        <v>0</v>
      </c>
      <c r="D6" s="43">
        <v>0</v>
      </c>
      <c r="E6">
        <v>46.3</v>
      </c>
      <c r="F6" s="43">
        <v>1000</v>
      </c>
      <c r="G6" s="1">
        <v>11</v>
      </c>
      <c r="H6" s="43">
        <v>3</v>
      </c>
      <c r="I6" s="43">
        <v>1.26</v>
      </c>
      <c r="J6" s="43">
        <v>1</v>
      </c>
      <c r="K6" s="43">
        <v>1</v>
      </c>
      <c r="L6" s="43">
        <v>440</v>
      </c>
      <c r="M6" s="43">
        <v>800</v>
      </c>
      <c r="N6" s="43">
        <v>-0.5</v>
      </c>
      <c r="O6" s="43">
        <v>-0.55000000000000004</v>
      </c>
      <c r="P6" s="43">
        <v>500</v>
      </c>
      <c r="Q6" s="43">
        <v>1.3</v>
      </c>
      <c r="R6" s="43">
        <v>0.8</v>
      </c>
      <c r="S6" s="43">
        <v>1</v>
      </c>
      <c r="T6" s="43">
        <v>-1.4</v>
      </c>
      <c r="U6" s="43">
        <v>50</v>
      </c>
      <c r="V6" s="43">
        <v>0.23</v>
      </c>
      <c r="W6" s="43">
        <v>0.18</v>
      </c>
      <c r="X6" s="43">
        <v>0.62</v>
      </c>
      <c r="Y6" s="43">
        <v>1</v>
      </c>
      <c r="Z6" s="43">
        <v>1</v>
      </c>
      <c r="AA6" s="43">
        <v>2</v>
      </c>
      <c r="AB6" s="43">
        <v>0.7</v>
      </c>
      <c r="AC6" s="43">
        <v>6</v>
      </c>
      <c r="AD6" s="43">
        <v>0.5</v>
      </c>
      <c r="AE6" s="43">
        <v>0.16</v>
      </c>
      <c r="AF6" s="43">
        <v>4.0000000000000001E-3</v>
      </c>
      <c r="AG6" s="43">
        <v>0.59</v>
      </c>
      <c r="AH6" s="43">
        <v>-2</v>
      </c>
      <c r="AI6" s="43">
        <v>1</v>
      </c>
      <c r="AJ6" s="43">
        <v>1.5</v>
      </c>
      <c r="AK6" s="43">
        <v>2</v>
      </c>
      <c r="AL6" s="43">
        <v>0.5</v>
      </c>
      <c r="AM6" s="43">
        <v>0.01</v>
      </c>
      <c r="AN6" s="43">
        <v>100</v>
      </c>
      <c r="AO6" s="43">
        <v>0.02</v>
      </c>
      <c r="AP6" s="43">
        <v>10</v>
      </c>
      <c r="AQ6" s="43">
        <v>-0.5</v>
      </c>
      <c r="AR6" s="43">
        <v>0</v>
      </c>
    </row>
    <row r="7" spans="1:44" x14ac:dyDescent="0.3">
      <c r="A7" s="8" t="s">
        <v>288</v>
      </c>
      <c r="B7" s="43">
        <v>2.5</v>
      </c>
      <c r="C7" s="43">
        <v>0</v>
      </c>
      <c r="D7" s="43">
        <v>0</v>
      </c>
      <c r="E7">
        <v>47.06</v>
      </c>
      <c r="F7" s="43">
        <v>1000</v>
      </c>
      <c r="G7" s="1">
        <v>7</v>
      </c>
      <c r="H7" s="43">
        <v>3</v>
      </c>
      <c r="I7" s="43">
        <v>1.26</v>
      </c>
      <c r="J7" s="43">
        <v>1</v>
      </c>
      <c r="K7" s="43">
        <v>1</v>
      </c>
      <c r="L7" s="43">
        <v>440</v>
      </c>
      <c r="M7" s="43">
        <v>800</v>
      </c>
      <c r="N7" s="43">
        <v>-0.5</v>
      </c>
      <c r="O7" s="43">
        <v>-0.55000000000000004</v>
      </c>
      <c r="P7" s="43">
        <v>500</v>
      </c>
      <c r="Q7" s="43">
        <v>1.3</v>
      </c>
      <c r="R7" s="43">
        <v>0.8</v>
      </c>
      <c r="S7" s="43">
        <v>1</v>
      </c>
      <c r="T7" s="43">
        <v>-1.4</v>
      </c>
      <c r="U7" s="43">
        <v>50</v>
      </c>
      <c r="V7" s="43">
        <v>0.23</v>
      </c>
      <c r="W7" s="43">
        <v>0.18</v>
      </c>
      <c r="X7" s="43">
        <v>0.62</v>
      </c>
      <c r="Y7" s="43">
        <v>1</v>
      </c>
      <c r="Z7" s="43">
        <v>1</v>
      </c>
      <c r="AA7" s="43">
        <v>2</v>
      </c>
      <c r="AB7" s="43">
        <v>0.7</v>
      </c>
      <c r="AC7" s="43">
        <v>6</v>
      </c>
      <c r="AD7" s="43">
        <v>0.5</v>
      </c>
      <c r="AE7" s="43">
        <v>0.16</v>
      </c>
      <c r="AF7" s="43">
        <v>4.0000000000000001E-3</v>
      </c>
      <c r="AG7" s="43">
        <v>0.59</v>
      </c>
      <c r="AH7" s="43">
        <v>-2</v>
      </c>
      <c r="AI7" s="43">
        <v>1</v>
      </c>
      <c r="AJ7" s="43">
        <v>1.5</v>
      </c>
      <c r="AK7" s="43">
        <v>2</v>
      </c>
      <c r="AL7" s="43">
        <v>0.5</v>
      </c>
      <c r="AM7" s="43">
        <v>0.01</v>
      </c>
      <c r="AN7" s="43">
        <v>100</v>
      </c>
      <c r="AO7" s="43">
        <v>0.02</v>
      </c>
      <c r="AP7" s="43">
        <v>10</v>
      </c>
      <c r="AQ7" s="43">
        <v>-0.5</v>
      </c>
      <c r="AR7" s="43">
        <v>0</v>
      </c>
    </row>
    <row r="8" spans="1:44" x14ac:dyDescent="0.3">
      <c r="A8" s="8" t="s">
        <v>289</v>
      </c>
      <c r="B8" s="43">
        <v>2.5</v>
      </c>
      <c r="C8" s="43">
        <v>0</v>
      </c>
      <c r="D8" s="43">
        <v>0</v>
      </c>
      <c r="E8">
        <v>46.45</v>
      </c>
      <c r="F8" s="43">
        <v>1000</v>
      </c>
      <c r="G8" s="1">
        <v>9</v>
      </c>
      <c r="H8" s="43">
        <v>3</v>
      </c>
      <c r="I8" s="43">
        <v>1.26</v>
      </c>
      <c r="J8" s="43">
        <v>1</v>
      </c>
      <c r="K8" s="43">
        <v>1</v>
      </c>
      <c r="L8" s="43">
        <v>440</v>
      </c>
      <c r="M8" s="43">
        <v>800</v>
      </c>
      <c r="N8" s="43">
        <v>-0.5</v>
      </c>
      <c r="O8" s="43">
        <v>-0.55000000000000004</v>
      </c>
      <c r="P8" s="43">
        <v>500</v>
      </c>
      <c r="Q8" s="43">
        <v>1.3</v>
      </c>
      <c r="R8" s="43">
        <v>0.8</v>
      </c>
      <c r="S8" s="43">
        <v>1</v>
      </c>
      <c r="T8" s="43">
        <v>-1.4</v>
      </c>
      <c r="U8" s="43">
        <v>50</v>
      </c>
      <c r="V8" s="43">
        <v>0.23</v>
      </c>
      <c r="W8" s="43">
        <v>0.18</v>
      </c>
      <c r="X8" s="43">
        <v>0.62</v>
      </c>
      <c r="Y8" s="43">
        <v>1</v>
      </c>
      <c r="Z8" s="43">
        <v>1</v>
      </c>
      <c r="AA8" s="43">
        <v>2</v>
      </c>
      <c r="AB8" s="43">
        <v>0.7</v>
      </c>
      <c r="AC8" s="43">
        <v>6</v>
      </c>
      <c r="AD8" s="43">
        <v>0.5</v>
      </c>
      <c r="AE8" s="43">
        <v>0.16</v>
      </c>
      <c r="AF8" s="43">
        <v>4.0000000000000001E-3</v>
      </c>
      <c r="AG8" s="43">
        <v>0.59</v>
      </c>
      <c r="AH8" s="43">
        <v>-2</v>
      </c>
      <c r="AI8" s="43">
        <v>1</v>
      </c>
      <c r="AJ8" s="43">
        <v>1.5</v>
      </c>
      <c r="AK8" s="43">
        <v>2</v>
      </c>
      <c r="AL8" s="43">
        <v>0.5</v>
      </c>
      <c r="AM8" s="43">
        <v>0.01</v>
      </c>
      <c r="AN8" s="43">
        <v>100</v>
      </c>
      <c r="AO8" s="43">
        <v>0.02</v>
      </c>
      <c r="AP8" s="43">
        <v>10</v>
      </c>
      <c r="AQ8" s="43">
        <v>-0.5</v>
      </c>
      <c r="AR8" s="43">
        <v>0</v>
      </c>
    </row>
  </sheetData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B4239-5295-48F3-8266-897BB1E15B2C}">
  <dimension ref="A1:G103"/>
  <sheetViews>
    <sheetView topLeftCell="A148" zoomScale="85" zoomScaleNormal="85" workbookViewId="0">
      <selection activeCell="J18" sqref="J18"/>
    </sheetView>
  </sheetViews>
  <sheetFormatPr defaultRowHeight="14.4" x14ac:dyDescent="0.3"/>
  <cols>
    <col min="1" max="1" width="16.44140625" customWidth="1"/>
  </cols>
  <sheetData>
    <row r="1" spans="1:7" ht="15" thickBot="1" x14ac:dyDescent="0.35">
      <c r="A1" s="101" t="s">
        <v>0</v>
      </c>
      <c r="B1" s="102" t="s">
        <v>241</v>
      </c>
      <c r="C1" s="102" t="s">
        <v>242</v>
      </c>
      <c r="D1" s="102" t="s">
        <v>243</v>
      </c>
      <c r="E1" s="103" t="s">
        <v>244</v>
      </c>
      <c r="F1" t="s">
        <v>245</v>
      </c>
      <c r="G1" t="s">
        <v>246</v>
      </c>
    </row>
    <row r="2" spans="1:7" x14ac:dyDescent="0.3">
      <c r="A2" t="s">
        <v>249</v>
      </c>
      <c r="B2">
        <v>2019</v>
      </c>
      <c r="C2">
        <v>7</v>
      </c>
      <c r="D2">
        <v>2</v>
      </c>
      <c r="E2">
        <v>183</v>
      </c>
      <c r="F2" s="98">
        <f>I2/'[1]sol - RG19'!$M$5</f>
        <v>0</v>
      </c>
      <c r="G2">
        <v>-999.99</v>
      </c>
    </row>
    <row r="3" spans="1:7" x14ac:dyDescent="0.3">
      <c r="A3" t="s">
        <v>249</v>
      </c>
      <c r="B3">
        <v>2019</v>
      </c>
      <c r="C3">
        <v>7</v>
      </c>
      <c r="D3">
        <v>3</v>
      </c>
      <c r="E3">
        <v>184</v>
      </c>
      <c r="F3" s="98">
        <f>I3/'[1]sol - RG19'!$M$5</f>
        <v>0</v>
      </c>
      <c r="G3">
        <v>-999.99</v>
      </c>
    </row>
    <row r="4" spans="1:7" x14ac:dyDescent="0.3">
      <c r="A4" t="s">
        <v>249</v>
      </c>
      <c r="B4">
        <v>2019</v>
      </c>
      <c r="C4">
        <v>7</v>
      </c>
      <c r="D4">
        <v>8</v>
      </c>
      <c r="E4">
        <v>189</v>
      </c>
      <c r="F4" s="98">
        <f>I4/'[1]sol - RG19'!$M$5</f>
        <v>0</v>
      </c>
      <c r="G4">
        <v>-999.99</v>
      </c>
    </row>
    <row r="5" spans="1:7" x14ac:dyDescent="0.3">
      <c r="A5" t="s">
        <v>249</v>
      </c>
      <c r="B5">
        <v>2019</v>
      </c>
      <c r="C5">
        <v>7</v>
      </c>
      <c r="D5">
        <v>10</v>
      </c>
      <c r="E5">
        <v>191</v>
      </c>
      <c r="F5" s="98">
        <f>I5/'[1]sol - RG19'!$M$5</f>
        <v>0</v>
      </c>
      <c r="G5">
        <v>-999.99</v>
      </c>
    </row>
    <row r="6" spans="1:7" x14ac:dyDescent="0.3">
      <c r="A6" t="s">
        <v>249</v>
      </c>
      <c r="B6">
        <v>2019</v>
      </c>
      <c r="C6">
        <v>7</v>
      </c>
      <c r="D6">
        <v>12</v>
      </c>
      <c r="E6">
        <v>193</v>
      </c>
      <c r="F6" s="98">
        <f>I6/'[1]sol - RG19'!$M$5</f>
        <v>0</v>
      </c>
      <c r="G6">
        <v>-999.99</v>
      </c>
    </row>
    <row r="7" spans="1:7" x14ac:dyDescent="0.3">
      <c r="A7" t="s">
        <v>249</v>
      </c>
      <c r="B7">
        <v>2019</v>
      </c>
      <c r="C7">
        <v>7</v>
      </c>
      <c r="D7">
        <v>15</v>
      </c>
      <c r="E7">
        <v>196</v>
      </c>
      <c r="F7" s="98">
        <f>I7/'[1]sol - RG19'!$M$5</f>
        <v>0</v>
      </c>
      <c r="G7">
        <v>-999.99</v>
      </c>
    </row>
    <row r="8" spans="1:7" x14ac:dyDescent="0.3">
      <c r="A8" t="s">
        <v>249</v>
      </c>
      <c r="B8">
        <v>2019</v>
      </c>
      <c r="C8">
        <v>7</v>
      </c>
      <c r="D8">
        <v>17</v>
      </c>
      <c r="E8">
        <v>198</v>
      </c>
      <c r="F8" s="98">
        <f>I8/'[1]sol - RG19'!$M$5</f>
        <v>0</v>
      </c>
      <c r="G8">
        <v>-999.99</v>
      </c>
    </row>
    <row r="9" spans="1:7" x14ac:dyDescent="0.3">
      <c r="A9" t="s">
        <v>249</v>
      </c>
      <c r="B9">
        <v>2019</v>
      </c>
      <c r="C9">
        <v>7</v>
      </c>
      <c r="D9">
        <v>19</v>
      </c>
      <c r="E9">
        <v>200</v>
      </c>
      <c r="F9" s="98">
        <f>I9/'[1]sol - RG19'!$M$5</f>
        <v>0</v>
      </c>
      <c r="G9">
        <v>-999.99</v>
      </c>
    </row>
    <row r="10" spans="1:7" x14ac:dyDescent="0.3">
      <c r="A10" t="s">
        <v>249</v>
      </c>
      <c r="B10">
        <v>2019</v>
      </c>
      <c r="C10">
        <v>7</v>
      </c>
      <c r="D10">
        <v>22</v>
      </c>
      <c r="E10">
        <v>203</v>
      </c>
      <c r="F10" s="98">
        <f>I10/'[1]sol - RG19'!$M$5</f>
        <v>0</v>
      </c>
      <c r="G10">
        <v>-999.99</v>
      </c>
    </row>
    <row r="11" spans="1:7" x14ac:dyDescent="0.3">
      <c r="A11" t="s">
        <v>249</v>
      </c>
      <c r="B11">
        <v>2019</v>
      </c>
      <c r="C11">
        <v>7</v>
      </c>
      <c r="D11">
        <v>24</v>
      </c>
      <c r="E11">
        <v>205</v>
      </c>
      <c r="F11" s="98">
        <f>I11/'[1]sol - RG19'!$M$5</f>
        <v>0</v>
      </c>
      <c r="G11">
        <v>-999.99</v>
      </c>
    </row>
    <row r="12" spans="1:7" x14ac:dyDescent="0.3">
      <c r="A12" t="s">
        <v>249</v>
      </c>
      <c r="B12">
        <v>2019</v>
      </c>
      <c r="C12">
        <v>7</v>
      </c>
      <c r="D12">
        <v>26</v>
      </c>
      <c r="E12">
        <v>207</v>
      </c>
      <c r="F12" s="98">
        <f>I12/'[1]sol - RG19'!$M$5</f>
        <v>0</v>
      </c>
      <c r="G12">
        <v>-999.99</v>
      </c>
    </row>
    <row r="13" spans="1:7" x14ac:dyDescent="0.3">
      <c r="A13" t="s">
        <v>249</v>
      </c>
      <c r="B13">
        <v>2019</v>
      </c>
      <c r="C13">
        <v>7</v>
      </c>
      <c r="D13">
        <v>29</v>
      </c>
      <c r="E13">
        <v>210</v>
      </c>
      <c r="F13" s="98">
        <f>I13/'[1]sol - RG19'!$M$5</f>
        <v>0</v>
      </c>
      <c r="G13">
        <v>-999.99</v>
      </c>
    </row>
    <row r="14" spans="1:7" x14ac:dyDescent="0.3">
      <c r="A14" t="s">
        <v>249</v>
      </c>
      <c r="B14">
        <v>2019</v>
      </c>
      <c r="C14">
        <v>7</v>
      </c>
      <c r="D14">
        <v>31</v>
      </c>
      <c r="E14">
        <v>212</v>
      </c>
      <c r="F14" s="98">
        <f>I14/'[1]sol - RG19'!$M$5</f>
        <v>0</v>
      </c>
      <c r="G14">
        <v>-999.99</v>
      </c>
    </row>
    <row r="15" spans="1:7" x14ac:dyDescent="0.3">
      <c r="A15" t="s">
        <v>249</v>
      </c>
      <c r="B15">
        <v>2019</v>
      </c>
      <c r="C15">
        <v>8</v>
      </c>
      <c r="D15">
        <v>2</v>
      </c>
      <c r="E15">
        <v>214</v>
      </c>
      <c r="F15" s="98">
        <f>I15/'[1]sol - RG19'!$M$5</f>
        <v>0</v>
      </c>
      <c r="G15">
        <v>-999.99</v>
      </c>
    </row>
    <row r="16" spans="1:7" x14ac:dyDescent="0.3">
      <c r="A16" t="s">
        <v>249</v>
      </c>
      <c r="B16">
        <v>2019</v>
      </c>
      <c r="C16">
        <v>8</v>
      </c>
      <c r="D16">
        <v>5</v>
      </c>
      <c r="E16">
        <v>217</v>
      </c>
      <c r="F16" s="98">
        <f>I16/'[1]sol - RG19'!$M$5</f>
        <v>0</v>
      </c>
      <c r="G16">
        <v>-999.99</v>
      </c>
    </row>
    <row r="17" spans="1:7" x14ac:dyDescent="0.3">
      <c r="A17" t="s">
        <v>249</v>
      </c>
      <c r="B17">
        <v>2019</v>
      </c>
      <c r="C17">
        <v>8</v>
      </c>
      <c r="D17">
        <v>7</v>
      </c>
      <c r="E17">
        <v>219</v>
      </c>
      <c r="F17" s="98">
        <f>I17/'[1]sol - RG19'!$M$5</f>
        <v>0</v>
      </c>
      <c r="G17">
        <v>-999.99</v>
      </c>
    </row>
    <row r="18" spans="1:7" x14ac:dyDescent="0.3">
      <c r="A18" t="s">
        <v>249</v>
      </c>
      <c r="B18">
        <v>2019</v>
      </c>
      <c r="C18">
        <v>8</v>
      </c>
      <c r="D18">
        <v>10</v>
      </c>
      <c r="E18">
        <v>222</v>
      </c>
      <c r="F18" s="98">
        <f>I18/'[1]sol - RG19'!$M$5</f>
        <v>0</v>
      </c>
      <c r="G18">
        <v>-999.99</v>
      </c>
    </row>
    <row r="19" spans="1:7" x14ac:dyDescent="0.3">
      <c r="A19" t="s">
        <v>249</v>
      </c>
      <c r="B19">
        <v>2019</v>
      </c>
      <c r="C19">
        <v>8</v>
      </c>
      <c r="D19">
        <v>12</v>
      </c>
      <c r="E19">
        <v>224</v>
      </c>
      <c r="F19" s="98">
        <f>I19/'[1]sol - RG19'!$M$5</f>
        <v>0</v>
      </c>
      <c r="G19">
        <v>-999.99</v>
      </c>
    </row>
    <row r="20" spans="1:7" x14ac:dyDescent="0.3">
      <c r="A20" t="s">
        <v>249</v>
      </c>
      <c r="B20">
        <v>2019</v>
      </c>
      <c r="C20">
        <v>8</v>
      </c>
      <c r="D20">
        <v>14</v>
      </c>
      <c r="E20">
        <v>226</v>
      </c>
      <c r="F20" s="98">
        <f>I20/'[1]sol - RG19'!$M$5</f>
        <v>0</v>
      </c>
      <c r="G20">
        <v>-999.99</v>
      </c>
    </row>
    <row r="21" spans="1:7" x14ac:dyDescent="0.3">
      <c r="A21" t="s">
        <v>249</v>
      </c>
      <c r="B21">
        <v>2019</v>
      </c>
      <c r="C21">
        <v>8</v>
      </c>
      <c r="D21">
        <v>19</v>
      </c>
      <c r="E21">
        <v>231</v>
      </c>
      <c r="F21" s="98">
        <f>I21/'[1]sol - RG19'!$M$5</f>
        <v>0</v>
      </c>
      <c r="G21">
        <v>-999.99</v>
      </c>
    </row>
    <row r="22" spans="1:7" x14ac:dyDescent="0.3">
      <c r="A22" t="s">
        <v>249</v>
      </c>
      <c r="B22">
        <v>2019</v>
      </c>
      <c r="C22">
        <v>8</v>
      </c>
      <c r="D22">
        <v>22</v>
      </c>
      <c r="E22">
        <v>234</v>
      </c>
      <c r="F22" s="98">
        <f>I22/'[1]sol - RG19'!$M$5</f>
        <v>0</v>
      </c>
      <c r="G22">
        <v>-999.99</v>
      </c>
    </row>
    <row r="23" spans="1:7" x14ac:dyDescent="0.3">
      <c r="A23" t="s">
        <v>249</v>
      </c>
      <c r="B23">
        <v>2019</v>
      </c>
      <c r="C23">
        <v>8</v>
      </c>
      <c r="D23">
        <v>23</v>
      </c>
      <c r="E23">
        <v>235</v>
      </c>
      <c r="F23" s="98">
        <f>I23/'[1]sol - RG19'!$M$5</f>
        <v>0</v>
      </c>
      <c r="G23">
        <v>-999.99</v>
      </c>
    </row>
    <row r="24" spans="1:7" x14ac:dyDescent="0.3">
      <c r="A24" t="s">
        <v>249</v>
      </c>
      <c r="B24">
        <v>2019</v>
      </c>
      <c r="C24">
        <v>8</v>
      </c>
      <c r="D24">
        <v>26</v>
      </c>
      <c r="E24">
        <v>238</v>
      </c>
      <c r="F24" s="98">
        <f>I24/'[1]sol - RG19'!$M$5</f>
        <v>0</v>
      </c>
      <c r="G24">
        <v>-999.99</v>
      </c>
    </row>
    <row r="25" spans="1:7" x14ac:dyDescent="0.3">
      <c r="A25" t="s">
        <v>249</v>
      </c>
      <c r="B25">
        <v>2019</v>
      </c>
      <c r="C25">
        <v>8</v>
      </c>
      <c r="D25">
        <v>28</v>
      </c>
      <c r="E25">
        <v>240</v>
      </c>
      <c r="F25" s="98">
        <f>I25/'[1]sol - RG19'!$M$5</f>
        <v>0</v>
      </c>
      <c r="G25">
        <v>-999.99</v>
      </c>
    </row>
    <row r="26" spans="1:7" x14ac:dyDescent="0.3">
      <c r="A26" t="s">
        <v>249</v>
      </c>
      <c r="B26">
        <v>2019</v>
      </c>
      <c r="C26">
        <v>8</v>
      </c>
      <c r="D26">
        <v>30</v>
      </c>
      <c r="E26">
        <v>242</v>
      </c>
      <c r="F26" s="98">
        <f>I26/'[1]sol - RG19'!$M$5</f>
        <v>0</v>
      </c>
      <c r="G26">
        <v>-999.99</v>
      </c>
    </row>
    <row r="27" spans="1:7" x14ac:dyDescent="0.3">
      <c r="A27" t="s">
        <v>249</v>
      </c>
      <c r="B27">
        <v>2019</v>
      </c>
      <c r="C27">
        <v>9</v>
      </c>
      <c r="D27">
        <v>2</v>
      </c>
      <c r="E27">
        <v>245</v>
      </c>
      <c r="F27" s="98">
        <f>I27/'[1]sol - RG19'!$M$5</f>
        <v>0</v>
      </c>
      <c r="G27">
        <v>-999.99</v>
      </c>
    </row>
    <row r="28" spans="1:7" x14ac:dyDescent="0.3">
      <c r="A28" t="s">
        <v>249</v>
      </c>
      <c r="B28">
        <v>2019</v>
      </c>
      <c r="C28">
        <v>9</v>
      </c>
      <c r="D28">
        <v>4</v>
      </c>
      <c r="E28">
        <v>247</v>
      </c>
      <c r="F28" s="98">
        <f>I28/'[1]sol - RG19'!$M$5</f>
        <v>0</v>
      </c>
      <c r="G28">
        <v>-999.99</v>
      </c>
    </row>
    <row r="29" spans="1:7" x14ac:dyDescent="0.3">
      <c r="A29" t="s">
        <v>249</v>
      </c>
      <c r="B29">
        <v>2019</v>
      </c>
      <c r="C29">
        <v>9</v>
      </c>
      <c r="D29">
        <v>6</v>
      </c>
      <c r="E29">
        <v>249</v>
      </c>
      <c r="F29" s="98">
        <f>I29/'[1]sol - RG19'!$M$5</f>
        <v>0</v>
      </c>
      <c r="G29">
        <v>-999.99</v>
      </c>
    </row>
    <row r="30" spans="1:7" x14ac:dyDescent="0.3">
      <c r="A30" t="s">
        <v>249</v>
      </c>
      <c r="B30">
        <v>2019</v>
      </c>
      <c r="C30">
        <v>9</v>
      </c>
      <c r="D30">
        <v>9</v>
      </c>
      <c r="E30">
        <v>252</v>
      </c>
      <c r="F30" s="98">
        <f>I30/'[1]sol - RG19'!$M$5</f>
        <v>0</v>
      </c>
      <c r="G30">
        <v>-999.99</v>
      </c>
    </row>
    <row r="31" spans="1:7" x14ac:dyDescent="0.3">
      <c r="A31" t="s">
        <v>249</v>
      </c>
      <c r="B31">
        <v>2019</v>
      </c>
      <c r="C31">
        <v>9</v>
      </c>
      <c r="D31">
        <v>11</v>
      </c>
      <c r="E31">
        <v>254</v>
      </c>
      <c r="F31" s="98">
        <f>I31/'[1]sol - RG19'!$M$5</f>
        <v>0</v>
      </c>
      <c r="G31">
        <v>-999.99</v>
      </c>
    </row>
    <row r="32" spans="1:7" x14ac:dyDescent="0.3">
      <c r="A32" t="s">
        <v>249</v>
      </c>
      <c r="B32">
        <v>2019</v>
      </c>
      <c r="C32">
        <v>9</v>
      </c>
      <c r="D32">
        <v>13</v>
      </c>
      <c r="E32">
        <v>256</v>
      </c>
      <c r="F32" s="98">
        <f>I32/'[1]sol - RG19'!$M$5</f>
        <v>0</v>
      </c>
      <c r="G32">
        <v>-999.99</v>
      </c>
    </row>
    <row r="33" spans="1:7" x14ac:dyDescent="0.3">
      <c r="A33" t="s">
        <v>249</v>
      </c>
      <c r="B33">
        <v>2019</v>
      </c>
      <c r="C33">
        <v>9</v>
      </c>
      <c r="D33">
        <v>16</v>
      </c>
      <c r="E33">
        <v>259</v>
      </c>
      <c r="F33" s="98">
        <f>I33/'[1]sol - RG19'!$M$5</f>
        <v>0</v>
      </c>
      <c r="G33">
        <v>-999.99</v>
      </c>
    </row>
    <row r="34" spans="1:7" x14ac:dyDescent="0.3">
      <c r="A34" t="s">
        <v>249</v>
      </c>
      <c r="B34">
        <v>2019</v>
      </c>
      <c r="C34">
        <v>9</v>
      </c>
      <c r="D34">
        <v>18</v>
      </c>
      <c r="E34">
        <v>261</v>
      </c>
      <c r="F34" s="98">
        <f>I34/'[1]sol - RG19'!$M$5</f>
        <v>0</v>
      </c>
      <c r="G34">
        <v>-999.99</v>
      </c>
    </row>
    <row r="35" spans="1:7" x14ac:dyDescent="0.3">
      <c r="A35" t="s">
        <v>249</v>
      </c>
      <c r="B35">
        <v>2019</v>
      </c>
      <c r="C35">
        <v>10</v>
      </c>
      <c r="D35">
        <v>9</v>
      </c>
      <c r="E35">
        <v>282</v>
      </c>
      <c r="F35">
        <v>-999.99</v>
      </c>
      <c r="G35">
        <v>37.4</v>
      </c>
    </row>
    <row r="36" spans="1:7" x14ac:dyDescent="0.3">
      <c r="A36" t="s">
        <v>251</v>
      </c>
      <c r="B36">
        <v>2019</v>
      </c>
      <c r="C36">
        <v>7</v>
      </c>
      <c r="D36">
        <v>2</v>
      </c>
      <c r="E36">
        <v>183</v>
      </c>
      <c r="F36" s="98">
        <f>I36/'[1]sol - RG19'!$M$5</f>
        <v>0</v>
      </c>
      <c r="G36">
        <v>-999.99</v>
      </c>
    </row>
    <row r="37" spans="1:7" x14ac:dyDescent="0.3">
      <c r="A37" t="s">
        <v>251</v>
      </c>
      <c r="B37">
        <v>2019</v>
      </c>
      <c r="C37">
        <v>7</v>
      </c>
      <c r="D37">
        <v>3</v>
      </c>
      <c r="E37">
        <v>184</v>
      </c>
      <c r="F37" s="98">
        <f>I37/'[1]sol - RG19'!$M$5</f>
        <v>0</v>
      </c>
      <c r="G37">
        <v>-999.99</v>
      </c>
    </row>
    <row r="38" spans="1:7" x14ac:dyDescent="0.3">
      <c r="A38" t="s">
        <v>251</v>
      </c>
      <c r="B38">
        <v>2019</v>
      </c>
      <c r="C38">
        <v>7</v>
      </c>
      <c r="D38">
        <v>8</v>
      </c>
      <c r="E38">
        <v>189</v>
      </c>
      <c r="F38" s="98">
        <f>I38/'[1]sol - RG19'!$M$5</f>
        <v>0</v>
      </c>
      <c r="G38">
        <v>-999.99</v>
      </c>
    </row>
    <row r="39" spans="1:7" x14ac:dyDescent="0.3">
      <c r="A39" t="s">
        <v>251</v>
      </c>
      <c r="B39">
        <v>2019</v>
      </c>
      <c r="C39">
        <v>7</v>
      </c>
      <c r="D39">
        <v>10</v>
      </c>
      <c r="E39">
        <v>191</v>
      </c>
      <c r="F39" s="98">
        <f>I39/'[1]sol - RG19'!$M$5</f>
        <v>0</v>
      </c>
      <c r="G39">
        <v>-999.99</v>
      </c>
    </row>
    <row r="40" spans="1:7" x14ac:dyDescent="0.3">
      <c r="A40" t="s">
        <v>251</v>
      </c>
      <c r="B40">
        <v>2019</v>
      </c>
      <c r="C40">
        <v>7</v>
      </c>
      <c r="D40">
        <v>12</v>
      </c>
      <c r="E40">
        <v>193</v>
      </c>
      <c r="F40" s="98">
        <f>I40/'[1]sol - RG19'!$M$5</f>
        <v>0</v>
      </c>
      <c r="G40">
        <v>-999.99</v>
      </c>
    </row>
    <row r="41" spans="1:7" x14ac:dyDescent="0.3">
      <c r="A41" t="s">
        <v>251</v>
      </c>
      <c r="B41">
        <v>2019</v>
      </c>
      <c r="C41">
        <v>7</v>
      </c>
      <c r="D41">
        <v>15</v>
      </c>
      <c r="E41">
        <v>196</v>
      </c>
      <c r="F41" s="98">
        <f>I41/'[1]sol - RG19'!$M$5</f>
        <v>0</v>
      </c>
      <c r="G41">
        <v>-999.99</v>
      </c>
    </row>
    <row r="42" spans="1:7" x14ac:dyDescent="0.3">
      <c r="A42" t="s">
        <v>251</v>
      </c>
      <c r="B42">
        <v>2019</v>
      </c>
      <c r="C42">
        <v>7</v>
      </c>
      <c r="D42">
        <v>17</v>
      </c>
      <c r="E42">
        <v>198</v>
      </c>
      <c r="F42" s="98">
        <f>I42/'[1]sol - RG19'!$M$5</f>
        <v>0</v>
      </c>
      <c r="G42">
        <v>-999.99</v>
      </c>
    </row>
    <row r="43" spans="1:7" x14ac:dyDescent="0.3">
      <c r="A43" t="s">
        <v>251</v>
      </c>
      <c r="B43">
        <v>2019</v>
      </c>
      <c r="C43">
        <v>7</v>
      </c>
      <c r="D43">
        <v>19</v>
      </c>
      <c r="E43">
        <v>200</v>
      </c>
      <c r="F43" s="98">
        <f>I43/'[1]sol - RG19'!$M$5</f>
        <v>0</v>
      </c>
      <c r="G43">
        <v>-999.99</v>
      </c>
    </row>
    <row r="44" spans="1:7" x14ac:dyDescent="0.3">
      <c r="A44" t="s">
        <v>251</v>
      </c>
      <c r="B44">
        <v>2019</v>
      </c>
      <c r="C44">
        <v>7</v>
      </c>
      <c r="D44">
        <v>22</v>
      </c>
      <c r="E44">
        <v>203</v>
      </c>
      <c r="F44" s="98">
        <f>I44/'[1]sol - RG19'!$M$5</f>
        <v>0</v>
      </c>
      <c r="G44">
        <v>-999.99</v>
      </c>
    </row>
    <row r="45" spans="1:7" x14ac:dyDescent="0.3">
      <c r="A45" t="s">
        <v>251</v>
      </c>
      <c r="B45">
        <v>2019</v>
      </c>
      <c r="C45">
        <v>7</v>
      </c>
      <c r="D45">
        <v>24</v>
      </c>
      <c r="E45">
        <v>205</v>
      </c>
      <c r="F45" s="98">
        <f>I45/'[1]sol - RG19'!$M$5</f>
        <v>0</v>
      </c>
      <c r="G45">
        <v>-999.99</v>
      </c>
    </row>
    <row r="46" spans="1:7" x14ac:dyDescent="0.3">
      <c r="A46" t="s">
        <v>251</v>
      </c>
      <c r="B46">
        <v>2019</v>
      </c>
      <c r="C46">
        <v>7</v>
      </c>
      <c r="D46">
        <v>26</v>
      </c>
      <c r="E46">
        <v>207</v>
      </c>
      <c r="F46" s="98">
        <f>I46/'[1]sol - RG19'!$M$5</f>
        <v>0</v>
      </c>
      <c r="G46">
        <v>-999.99</v>
      </c>
    </row>
    <row r="47" spans="1:7" x14ac:dyDescent="0.3">
      <c r="A47" t="s">
        <v>251</v>
      </c>
      <c r="B47">
        <v>2019</v>
      </c>
      <c r="C47">
        <v>7</v>
      </c>
      <c r="D47">
        <v>29</v>
      </c>
      <c r="E47">
        <v>210</v>
      </c>
      <c r="F47" s="98">
        <f>I47/'[1]sol - RG19'!$M$5</f>
        <v>0</v>
      </c>
      <c r="G47">
        <v>-999.99</v>
      </c>
    </row>
    <row r="48" spans="1:7" x14ac:dyDescent="0.3">
      <c r="A48" t="s">
        <v>251</v>
      </c>
      <c r="B48">
        <v>2019</v>
      </c>
      <c r="C48">
        <v>7</v>
      </c>
      <c r="D48">
        <v>31</v>
      </c>
      <c r="E48">
        <v>212</v>
      </c>
      <c r="F48" s="98">
        <f>I48/'[1]sol - RG19'!$M$5</f>
        <v>0</v>
      </c>
      <c r="G48">
        <v>-999.99</v>
      </c>
    </row>
    <row r="49" spans="1:7" x14ac:dyDescent="0.3">
      <c r="A49" t="s">
        <v>251</v>
      </c>
      <c r="B49">
        <v>2019</v>
      </c>
      <c r="C49">
        <v>8</v>
      </c>
      <c r="D49">
        <v>2</v>
      </c>
      <c r="E49">
        <v>214</v>
      </c>
      <c r="F49" s="98">
        <f>I49/'[1]sol - RG19'!$M$5</f>
        <v>0</v>
      </c>
      <c r="G49">
        <v>-999.99</v>
      </c>
    </row>
    <row r="50" spans="1:7" x14ac:dyDescent="0.3">
      <c r="A50" t="s">
        <v>251</v>
      </c>
      <c r="B50">
        <v>2019</v>
      </c>
      <c r="C50">
        <v>8</v>
      </c>
      <c r="D50">
        <v>5</v>
      </c>
      <c r="E50">
        <v>217</v>
      </c>
      <c r="F50" s="98">
        <f>I50/'[1]sol - RG19'!$M$5</f>
        <v>0</v>
      </c>
      <c r="G50">
        <v>-999.99</v>
      </c>
    </row>
    <row r="51" spans="1:7" x14ac:dyDescent="0.3">
      <c r="A51" t="s">
        <v>251</v>
      </c>
      <c r="B51">
        <v>2019</v>
      </c>
      <c r="C51">
        <v>8</v>
      </c>
      <c r="D51">
        <v>7</v>
      </c>
      <c r="E51">
        <v>219</v>
      </c>
      <c r="F51" s="98">
        <f>I51/'[1]sol - RG19'!$M$5</f>
        <v>0</v>
      </c>
      <c r="G51">
        <v>-999.99</v>
      </c>
    </row>
    <row r="52" spans="1:7" x14ac:dyDescent="0.3">
      <c r="A52" t="s">
        <v>251</v>
      </c>
      <c r="B52">
        <v>2019</v>
      </c>
      <c r="C52">
        <v>8</v>
      </c>
      <c r="D52">
        <v>10</v>
      </c>
      <c r="E52">
        <v>222</v>
      </c>
      <c r="F52" s="98">
        <f>I52/'[1]sol - RG19'!$M$5</f>
        <v>0</v>
      </c>
      <c r="G52">
        <v>-999.99</v>
      </c>
    </row>
    <row r="53" spans="1:7" x14ac:dyDescent="0.3">
      <c r="A53" t="s">
        <v>251</v>
      </c>
      <c r="B53">
        <v>2019</v>
      </c>
      <c r="C53">
        <v>8</v>
      </c>
      <c r="D53">
        <v>12</v>
      </c>
      <c r="E53">
        <v>224</v>
      </c>
      <c r="F53" s="98">
        <f>I53/'[1]sol - RG19'!$M$5</f>
        <v>0</v>
      </c>
      <c r="G53">
        <v>-999.99</v>
      </c>
    </row>
    <row r="54" spans="1:7" x14ac:dyDescent="0.3">
      <c r="A54" t="s">
        <v>251</v>
      </c>
      <c r="B54">
        <v>2019</v>
      </c>
      <c r="C54">
        <v>8</v>
      </c>
      <c r="D54">
        <v>14</v>
      </c>
      <c r="E54">
        <v>226</v>
      </c>
      <c r="F54" s="98">
        <f>I54/'[1]sol - RG19'!$M$5</f>
        <v>0</v>
      </c>
      <c r="G54">
        <v>-999.99</v>
      </c>
    </row>
    <row r="55" spans="1:7" x14ac:dyDescent="0.3">
      <c r="A55" t="s">
        <v>251</v>
      </c>
      <c r="B55">
        <v>2019</v>
      </c>
      <c r="C55">
        <v>8</v>
      </c>
      <c r="D55">
        <v>19</v>
      </c>
      <c r="E55">
        <v>231</v>
      </c>
      <c r="F55" s="98">
        <f>I55/'[1]sol - RG19'!$M$5</f>
        <v>0</v>
      </c>
      <c r="G55">
        <v>-999.99</v>
      </c>
    </row>
    <row r="56" spans="1:7" x14ac:dyDescent="0.3">
      <c r="A56" t="s">
        <v>251</v>
      </c>
      <c r="B56">
        <v>2019</v>
      </c>
      <c r="C56">
        <v>8</v>
      </c>
      <c r="D56">
        <v>22</v>
      </c>
      <c r="E56">
        <v>234</v>
      </c>
      <c r="F56" s="98">
        <f>I56/'[1]sol - RG19'!$M$5</f>
        <v>0</v>
      </c>
      <c r="G56">
        <v>-999.99</v>
      </c>
    </row>
    <row r="57" spans="1:7" x14ac:dyDescent="0.3">
      <c r="A57" t="s">
        <v>251</v>
      </c>
      <c r="B57">
        <v>2019</v>
      </c>
      <c r="C57">
        <v>8</v>
      </c>
      <c r="D57">
        <v>23</v>
      </c>
      <c r="E57">
        <v>235</v>
      </c>
      <c r="F57" s="98">
        <f>I57/'[1]sol - RG19'!$M$5</f>
        <v>0</v>
      </c>
      <c r="G57">
        <v>-999.99</v>
      </c>
    </row>
    <row r="58" spans="1:7" x14ac:dyDescent="0.3">
      <c r="A58" t="s">
        <v>251</v>
      </c>
      <c r="B58">
        <v>2019</v>
      </c>
      <c r="C58">
        <v>8</v>
      </c>
      <c r="D58">
        <v>26</v>
      </c>
      <c r="E58">
        <v>238</v>
      </c>
      <c r="F58" s="98">
        <f>I58/'[1]sol - RG19'!$M$5</f>
        <v>0</v>
      </c>
      <c r="G58">
        <v>-999.99</v>
      </c>
    </row>
    <row r="59" spans="1:7" x14ac:dyDescent="0.3">
      <c r="A59" t="s">
        <v>251</v>
      </c>
      <c r="B59">
        <v>2019</v>
      </c>
      <c r="C59">
        <v>8</v>
      </c>
      <c r="D59">
        <v>28</v>
      </c>
      <c r="E59">
        <v>240</v>
      </c>
      <c r="F59" s="98">
        <f>I59/'[1]sol - RG19'!$M$5</f>
        <v>0</v>
      </c>
      <c r="G59">
        <v>-999.99</v>
      </c>
    </row>
    <row r="60" spans="1:7" x14ac:dyDescent="0.3">
      <c r="A60" t="s">
        <v>251</v>
      </c>
      <c r="B60">
        <v>2019</v>
      </c>
      <c r="C60">
        <v>8</v>
      </c>
      <c r="D60">
        <v>30</v>
      </c>
      <c r="E60">
        <v>242</v>
      </c>
      <c r="F60" s="98">
        <f>I60/'[1]sol - RG19'!$M$5</f>
        <v>0</v>
      </c>
      <c r="G60">
        <v>-999.99</v>
      </c>
    </row>
    <row r="61" spans="1:7" x14ac:dyDescent="0.3">
      <c r="A61" t="s">
        <v>251</v>
      </c>
      <c r="B61">
        <v>2019</v>
      </c>
      <c r="C61">
        <v>9</v>
      </c>
      <c r="D61">
        <v>2</v>
      </c>
      <c r="E61">
        <v>245</v>
      </c>
      <c r="F61" s="98">
        <f>I61/'[1]sol - RG19'!$M$5</f>
        <v>0</v>
      </c>
      <c r="G61">
        <v>-999.99</v>
      </c>
    </row>
    <row r="62" spans="1:7" x14ac:dyDescent="0.3">
      <c r="A62" t="s">
        <v>251</v>
      </c>
      <c r="B62">
        <v>2019</v>
      </c>
      <c r="C62">
        <v>9</v>
      </c>
      <c r="D62">
        <v>4</v>
      </c>
      <c r="E62">
        <v>247</v>
      </c>
      <c r="F62" s="98">
        <f>I62/'[1]sol - RG19'!$M$5</f>
        <v>0</v>
      </c>
      <c r="G62">
        <v>-999.99</v>
      </c>
    </row>
    <row r="63" spans="1:7" x14ac:dyDescent="0.3">
      <c r="A63" t="s">
        <v>251</v>
      </c>
      <c r="B63">
        <v>2019</v>
      </c>
      <c r="C63">
        <v>9</v>
      </c>
      <c r="D63">
        <v>6</v>
      </c>
      <c r="E63">
        <v>249</v>
      </c>
      <c r="F63" s="98">
        <f>I63/'[1]sol - RG19'!$M$5</f>
        <v>0</v>
      </c>
      <c r="G63">
        <v>-999.99</v>
      </c>
    </row>
    <row r="64" spans="1:7" x14ac:dyDescent="0.3">
      <c r="A64" t="s">
        <v>251</v>
      </c>
      <c r="B64">
        <v>2019</v>
      </c>
      <c r="C64">
        <v>9</v>
      </c>
      <c r="D64">
        <v>9</v>
      </c>
      <c r="E64">
        <v>252</v>
      </c>
      <c r="F64" s="98">
        <f>I64/'[1]sol - RG19'!$M$5</f>
        <v>0</v>
      </c>
      <c r="G64">
        <v>-999.99</v>
      </c>
    </row>
    <row r="65" spans="1:7" x14ac:dyDescent="0.3">
      <c r="A65" t="s">
        <v>251</v>
      </c>
      <c r="B65">
        <v>2019</v>
      </c>
      <c r="C65">
        <v>9</v>
      </c>
      <c r="D65">
        <v>11</v>
      </c>
      <c r="E65">
        <v>254</v>
      </c>
      <c r="F65" s="98">
        <f>I65/'[1]sol - RG19'!$M$5</f>
        <v>0</v>
      </c>
      <c r="G65">
        <v>-999.99</v>
      </c>
    </row>
    <row r="66" spans="1:7" x14ac:dyDescent="0.3">
      <c r="A66" t="s">
        <v>251</v>
      </c>
      <c r="B66">
        <v>2019</v>
      </c>
      <c r="C66">
        <v>9</v>
      </c>
      <c r="D66">
        <v>13</v>
      </c>
      <c r="E66">
        <v>256</v>
      </c>
      <c r="F66" s="98">
        <f>I66/'[1]sol - RG19'!$M$5</f>
        <v>0</v>
      </c>
      <c r="G66">
        <v>-999.99</v>
      </c>
    </row>
    <row r="67" spans="1:7" x14ac:dyDescent="0.3">
      <c r="A67" t="s">
        <v>251</v>
      </c>
      <c r="B67">
        <v>2019</v>
      </c>
      <c r="C67">
        <v>9</v>
      </c>
      <c r="D67">
        <v>16</v>
      </c>
      <c r="E67">
        <v>259</v>
      </c>
      <c r="F67" s="98">
        <f>I67/'[1]sol - RG19'!$M$5</f>
        <v>0</v>
      </c>
      <c r="G67">
        <v>-999.99</v>
      </c>
    </row>
    <row r="68" spans="1:7" x14ac:dyDescent="0.3">
      <c r="A68" t="s">
        <v>251</v>
      </c>
      <c r="B68">
        <v>2019</v>
      </c>
      <c r="C68">
        <v>9</v>
      </c>
      <c r="D68">
        <v>18</v>
      </c>
      <c r="E68">
        <v>261</v>
      </c>
      <c r="F68" s="98">
        <f>I68/'[1]sol - RG19'!$M$5</f>
        <v>0</v>
      </c>
      <c r="G68">
        <v>-999.99</v>
      </c>
    </row>
    <row r="69" spans="1:7" x14ac:dyDescent="0.3">
      <c r="A69" t="s">
        <v>251</v>
      </c>
      <c r="B69">
        <v>2019</v>
      </c>
      <c r="C69">
        <v>10</v>
      </c>
      <c r="D69">
        <v>9</v>
      </c>
      <c r="E69">
        <v>282</v>
      </c>
      <c r="F69">
        <v>-999.99</v>
      </c>
      <c r="G69">
        <v>64.5</v>
      </c>
    </row>
    <row r="70" spans="1:7" x14ac:dyDescent="0.3">
      <c r="A70" t="s">
        <v>252</v>
      </c>
      <c r="B70">
        <v>2019</v>
      </c>
      <c r="C70">
        <v>7</v>
      </c>
      <c r="D70">
        <v>2</v>
      </c>
      <c r="E70">
        <v>183</v>
      </c>
      <c r="F70" s="98">
        <f>I70/'[1]sol - RG19'!$M$5</f>
        <v>0</v>
      </c>
      <c r="G70">
        <v>-999.99</v>
      </c>
    </row>
    <row r="71" spans="1:7" x14ac:dyDescent="0.3">
      <c r="A71" t="s">
        <v>252</v>
      </c>
      <c r="B71">
        <v>2019</v>
      </c>
      <c r="C71">
        <v>7</v>
      </c>
      <c r="D71">
        <v>3</v>
      </c>
      <c r="E71">
        <v>184</v>
      </c>
      <c r="F71" s="98">
        <f>I71/'[1]sol - RG19'!$M$5</f>
        <v>0</v>
      </c>
      <c r="G71">
        <v>-999.99</v>
      </c>
    </row>
    <row r="72" spans="1:7" x14ac:dyDescent="0.3">
      <c r="A72" t="s">
        <v>252</v>
      </c>
      <c r="B72">
        <v>2019</v>
      </c>
      <c r="C72">
        <v>7</v>
      </c>
      <c r="D72">
        <v>8</v>
      </c>
      <c r="E72">
        <v>189</v>
      </c>
      <c r="F72" s="98">
        <f>I72/'[1]sol - RG19'!$M$5</f>
        <v>0</v>
      </c>
      <c r="G72">
        <v>-999.99</v>
      </c>
    </row>
    <row r="73" spans="1:7" x14ac:dyDescent="0.3">
      <c r="A73" t="s">
        <v>252</v>
      </c>
      <c r="B73">
        <v>2019</v>
      </c>
      <c r="C73">
        <v>7</v>
      </c>
      <c r="D73">
        <v>10</v>
      </c>
      <c r="E73">
        <v>191</v>
      </c>
      <c r="F73" s="98">
        <f>I73/'[1]sol - RG19'!$M$5</f>
        <v>0</v>
      </c>
      <c r="G73">
        <v>-999.99</v>
      </c>
    </row>
    <row r="74" spans="1:7" x14ac:dyDescent="0.3">
      <c r="A74" t="s">
        <v>252</v>
      </c>
      <c r="B74">
        <v>2019</v>
      </c>
      <c r="C74">
        <v>7</v>
      </c>
      <c r="D74">
        <v>12</v>
      </c>
      <c r="E74">
        <v>193</v>
      </c>
      <c r="F74" s="98">
        <f>I74/'[1]sol - RG19'!$M$5</f>
        <v>0</v>
      </c>
      <c r="G74">
        <v>-999.99</v>
      </c>
    </row>
    <row r="75" spans="1:7" x14ac:dyDescent="0.3">
      <c r="A75" t="s">
        <v>252</v>
      </c>
      <c r="B75">
        <v>2019</v>
      </c>
      <c r="C75">
        <v>7</v>
      </c>
      <c r="D75">
        <v>15</v>
      </c>
      <c r="E75">
        <v>196</v>
      </c>
      <c r="F75" s="98">
        <f>I75/'[1]sol - RG19'!$M$5</f>
        <v>0</v>
      </c>
      <c r="G75">
        <v>-999.99</v>
      </c>
    </row>
    <row r="76" spans="1:7" x14ac:dyDescent="0.3">
      <c r="A76" t="s">
        <v>252</v>
      </c>
      <c r="B76">
        <v>2019</v>
      </c>
      <c r="C76">
        <v>7</v>
      </c>
      <c r="D76">
        <v>17</v>
      </c>
      <c r="E76">
        <v>198</v>
      </c>
      <c r="F76" s="98">
        <f>I76/'[1]sol - RG19'!$M$5</f>
        <v>0</v>
      </c>
      <c r="G76">
        <v>-999.99</v>
      </c>
    </row>
    <row r="77" spans="1:7" x14ac:dyDescent="0.3">
      <c r="A77" t="s">
        <v>252</v>
      </c>
      <c r="B77">
        <v>2019</v>
      </c>
      <c r="C77">
        <v>7</v>
      </c>
      <c r="D77">
        <v>19</v>
      </c>
      <c r="E77">
        <v>200</v>
      </c>
      <c r="F77" s="98">
        <f>I77/'[1]sol - RG19'!$M$5</f>
        <v>0</v>
      </c>
      <c r="G77">
        <v>-999.99</v>
      </c>
    </row>
    <row r="78" spans="1:7" x14ac:dyDescent="0.3">
      <c r="A78" t="s">
        <v>252</v>
      </c>
      <c r="B78">
        <v>2019</v>
      </c>
      <c r="C78">
        <v>7</v>
      </c>
      <c r="D78">
        <v>22</v>
      </c>
      <c r="E78">
        <v>203</v>
      </c>
      <c r="F78" s="98">
        <f>I78/'[1]sol - RG19'!$M$5</f>
        <v>0</v>
      </c>
      <c r="G78">
        <v>-999.99</v>
      </c>
    </row>
    <row r="79" spans="1:7" x14ac:dyDescent="0.3">
      <c r="A79" t="s">
        <v>252</v>
      </c>
      <c r="B79">
        <v>2019</v>
      </c>
      <c r="C79">
        <v>7</v>
      </c>
      <c r="D79">
        <v>24</v>
      </c>
      <c r="E79">
        <v>205</v>
      </c>
      <c r="F79" s="98">
        <f>I79/'[1]sol - RG19'!$M$5</f>
        <v>0</v>
      </c>
      <c r="G79">
        <v>-999.99</v>
      </c>
    </row>
    <row r="80" spans="1:7" x14ac:dyDescent="0.3">
      <c r="A80" t="s">
        <v>252</v>
      </c>
      <c r="B80">
        <v>2019</v>
      </c>
      <c r="C80">
        <v>7</v>
      </c>
      <c r="D80">
        <v>26</v>
      </c>
      <c r="E80">
        <v>207</v>
      </c>
      <c r="F80" s="98">
        <f>I80/'[1]sol - RG19'!$M$5</f>
        <v>0</v>
      </c>
      <c r="G80">
        <v>-999.99</v>
      </c>
    </row>
    <row r="81" spans="1:7" x14ac:dyDescent="0.3">
      <c r="A81" t="s">
        <v>252</v>
      </c>
      <c r="B81">
        <v>2019</v>
      </c>
      <c r="C81">
        <v>7</v>
      </c>
      <c r="D81">
        <v>29</v>
      </c>
      <c r="E81">
        <v>210</v>
      </c>
      <c r="F81" s="98">
        <f>I81/'[1]sol - RG19'!$M$5</f>
        <v>0</v>
      </c>
      <c r="G81">
        <v>-999.99</v>
      </c>
    </row>
    <row r="82" spans="1:7" x14ac:dyDescent="0.3">
      <c r="A82" t="s">
        <v>252</v>
      </c>
      <c r="B82">
        <v>2019</v>
      </c>
      <c r="C82">
        <v>7</v>
      </c>
      <c r="D82">
        <v>31</v>
      </c>
      <c r="E82">
        <v>212</v>
      </c>
      <c r="F82" s="98">
        <f>I82/'[1]sol - RG19'!$M$5</f>
        <v>0</v>
      </c>
      <c r="G82">
        <v>-999.99</v>
      </c>
    </row>
    <row r="83" spans="1:7" x14ac:dyDescent="0.3">
      <c r="A83" t="s">
        <v>252</v>
      </c>
      <c r="B83">
        <v>2019</v>
      </c>
      <c r="C83">
        <v>8</v>
      </c>
      <c r="D83">
        <v>2</v>
      </c>
      <c r="E83">
        <v>214</v>
      </c>
      <c r="F83" s="98">
        <f>I83/'[1]sol - RG19'!$M$5</f>
        <v>0</v>
      </c>
      <c r="G83">
        <v>-999.99</v>
      </c>
    </row>
    <row r="84" spans="1:7" x14ac:dyDescent="0.3">
      <c r="A84" t="s">
        <v>252</v>
      </c>
      <c r="B84">
        <v>2019</v>
      </c>
      <c r="C84">
        <v>8</v>
      </c>
      <c r="D84">
        <v>5</v>
      </c>
      <c r="E84">
        <v>217</v>
      </c>
      <c r="F84" s="98">
        <f>I84/'[1]sol - RG19'!$M$5</f>
        <v>0</v>
      </c>
      <c r="G84">
        <v>-999.99</v>
      </c>
    </row>
    <row r="85" spans="1:7" x14ac:dyDescent="0.3">
      <c r="A85" t="s">
        <v>252</v>
      </c>
      <c r="B85">
        <v>2019</v>
      </c>
      <c r="C85">
        <v>8</v>
      </c>
      <c r="D85">
        <v>7</v>
      </c>
      <c r="E85">
        <v>219</v>
      </c>
      <c r="F85" s="98">
        <f>I85/'[1]sol - RG19'!$M$5</f>
        <v>0</v>
      </c>
      <c r="G85">
        <v>-999.99</v>
      </c>
    </row>
    <row r="86" spans="1:7" x14ac:dyDescent="0.3">
      <c r="A86" t="s">
        <v>252</v>
      </c>
      <c r="B86">
        <v>2019</v>
      </c>
      <c r="C86">
        <v>8</v>
      </c>
      <c r="D86">
        <v>10</v>
      </c>
      <c r="E86">
        <v>222</v>
      </c>
      <c r="F86" s="98">
        <f>I86/'[1]sol - RG19'!$M$5</f>
        <v>0</v>
      </c>
      <c r="G86">
        <v>-999.99</v>
      </c>
    </row>
    <row r="87" spans="1:7" x14ac:dyDescent="0.3">
      <c r="A87" t="s">
        <v>252</v>
      </c>
      <c r="B87">
        <v>2019</v>
      </c>
      <c r="C87">
        <v>8</v>
      </c>
      <c r="D87">
        <v>12</v>
      </c>
      <c r="E87">
        <v>224</v>
      </c>
      <c r="F87" s="98">
        <f>I87/'[1]sol - RG19'!$M$5</f>
        <v>0</v>
      </c>
      <c r="G87">
        <v>-999.99</v>
      </c>
    </row>
    <row r="88" spans="1:7" x14ac:dyDescent="0.3">
      <c r="A88" t="s">
        <v>252</v>
      </c>
      <c r="B88">
        <v>2019</v>
      </c>
      <c r="C88">
        <v>8</v>
      </c>
      <c r="D88">
        <v>14</v>
      </c>
      <c r="E88">
        <v>226</v>
      </c>
      <c r="F88" s="98">
        <f>I88/'[1]sol - RG19'!$M$5</f>
        <v>0</v>
      </c>
      <c r="G88">
        <v>-999.99</v>
      </c>
    </row>
    <row r="89" spans="1:7" x14ac:dyDescent="0.3">
      <c r="A89" t="s">
        <v>252</v>
      </c>
      <c r="B89">
        <v>2019</v>
      </c>
      <c r="C89">
        <v>8</v>
      </c>
      <c r="D89">
        <v>19</v>
      </c>
      <c r="E89">
        <v>231</v>
      </c>
      <c r="F89" s="98">
        <f>I89/'[1]sol - RG19'!$M$5</f>
        <v>0</v>
      </c>
      <c r="G89">
        <v>-999.99</v>
      </c>
    </row>
    <row r="90" spans="1:7" x14ac:dyDescent="0.3">
      <c r="A90" t="s">
        <v>252</v>
      </c>
      <c r="B90">
        <v>2019</v>
      </c>
      <c r="C90">
        <v>8</v>
      </c>
      <c r="D90">
        <v>22</v>
      </c>
      <c r="E90">
        <v>234</v>
      </c>
      <c r="F90" s="98">
        <f>I90/'[1]sol - RG19'!$M$5</f>
        <v>0</v>
      </c>
      <c r="G90">
        <v>-999.99</v>
      </c>
    </row>
    <row r="91" spans="1:7" x14ac:dyDescent="0.3">
      <c r="A91" t="s">
        <v>252</v>
      </c>
      <c r="B91">
        <v>2019</v>
      </c>
      <c r="C91">
        <v>8</v>
      </c>
      <c r="D91">
        <v>23</v>
      </c>
      <c r="E91">
        <v>235</v>
      </c>
      <c r="F91" s="98">
        <f>I91/'[1]sol - RG19'!$M$5</f>
        <v>0</v>
      </c>
      <c r="G91">
        <v>-999.99</v>
      </c>
    </row>
    <row r="92" spans="1:7" x14ac:dyDescent="0.3">
      <c r="A92" t="s">
        <v>252</v>
      </c>
      <c r="B92">
        <v>2019</v>
      </c>
      <c r="C92">
        <v>8</v>
      </c>
      <c r="D92">
        <v>26</v>
      </c>
      <c r="E92">
        <v>238</v>
      </c>
      <c r="F92" s="98">
        <f>I92/'[1]sol - RG19'!$M$5</f>
        <v>0</v>
      </c>
      <c r="G92">
        <v>-999.99</v>
      </c>
    </row>
    <row r="93" spans="1:7" x14ac:dyDescent="0.3">
      <c r="A93" t="s">
        <v>252</v>
      </c>
      <c r="B93">
        <v>2019</v>
      </c>
      <c r="C93">
        <v>8</v>
      </c>
      <c r="D93">
        <v>28</v>
      </c>
      <c r="E93">
        <v>240</v>
      </c>
      <c r="F93" s="98">
        <f>I93/'[1]sol - RG19'!$M$5</f>
        <v>0</v>
      </c>
      <c r="G93">
        <v>-999.99</v>
      </c>
    </row>
    <row r="94" spans="1:7" x14ac:dyDescent="0.3">
      <c r="A94" t="s">
        <v>252</v>
      </c>
      <c r="B94">
        <v>2019</v>
      </c>
      <c r="C94">
        <v>8</v>
      </c>
      <c r="D94">
        <v>30</v>
      </c>
      <c r="E94">
        <v>242</v>
      </c>
      <c r="F94" s="98">
        <f>I94/'[1]sol - RG19'!$M$5</f>
        <v>0</v>
      </c>
      <c r="G94">
        <v>-999.99</v>
      </c>
    </row>
    <row r="95" spans="1:7" x14ac:dyDescent="0.3">
      <c r="A95" t="s">
        <v>252</v>
      </c>
      <c r="B95">
        <v>2019</v>
      </c>
      <c r="C95">
        <v>9</v>
      </c>
      <c r="D95">
        <v>2</v>
      </c>
      <c r="E95">
        <v>245</v>
      </c>
      <c r="F95" s="98">
        <f>I95/'[1]sol - RG19'!$M$5</f>
        <v>0</v>
      </c>
      <c r="G95">
        <v>-999.99</v>
      </c>
    </row>
    <row r="96" spans="1:7" x14ac:dyDescent="0.3">
      <c r="A96" t="s">
        <v>252</v>
      </c>
      <c r="B96">
        <v>2019</v>
      </c>
      <c r="C96">
        <v>9</v>
      </c>
      <c r="D96">
        <v>4</v>
      </c>
      <c r="E96">
        <v>247</v>
      </c>
      <c r="F96" s="98">
        <f>I96/'[1]sol - RG19'!$M$5</f>
        <v>0</v>
      </c>
      <c r="G96">
        <v>-999.99</v>
      </c>
    </row>
    <row r="97" spans="1:7" x14ac:dyDescent="0.3">
      <c r="A97" t="s">
        <v>252</v>
      </c>
      <c r="B97">
        <v>2019</v>
      </c>
      <c r="C97">
        <v>9</v>
      </c>
      <c r="D97">
        <v>6</v>
      </c>
      <c r="E97">
        <v>249</v>
      </c>
      <c r="F97" s="98">
        <f>I97/'[1]sol - RG19'!$M$5</f>
        <v>0</v>
      </c>
      <c r="G97">
        <v>-999.99</v>
      </c>
    </row>
    <row r="98" spans="1:7" x14ac:dyDescent="0.3">
      <c r="A98" t="s">
        <v>252</v>
      </c>
      <c r="B98">
        <v>2019</v>
      </c>
      <c r="C98">
        <v>9</v>
      </c>
      <c r="D98">
        <v>9</v>
      </c>
      <c r="E98">
        <v>252</v>
      </c>
      <c r="F98" s="98">
        <f>I98/'[1]sol - RG19'!$M$5</f>
        <v>0</v>
      </c>
      <c r="G98">
        <v>-999.99</v>
      </c>
    </row>
    <row r="99" spans="1:7" x14ac:dyDescent="0.3">
      <c r="A99" t="s">
        <v>252</v>
      </c>
      <c r="B99">
        <v>2019</v>
      </c>
      <c r="C99">
        <v>9</v>
      </c>
      <c r="D99">
        <v>11</v>
      </c>
      <c r="E99">
        <v>254</v>
      </c>
      <c r="F99" s="98">
        <f>I99/'[1]sol - RG19'!$M$5</f>
        <v>0</v>
      </c>
      <c r="G99">
        <v>-999.99</v>
      </c>
    </row>
    <row r="100" spans="1:7" x14ac:dyDescent="0.3">
      <c r="A100" t="s">
        <v>252</v>
      </c>
      <c r="B100">
        <v>2019</v>
      </c>
      <c r="C100">
        <v>9</v>
      </c>
      <c r="D100">
        <v>13</v>
      </c>
      <c r="E100">
        <v>256</v>
      </c>
      <c r="F100" s="98">
        <f>I100/'[1]sol - RG19'!$M$5</f>
        <v>0</v>
      </c>
      <c r="G100">
        <v>-999.99</v>
      </c>
    </row>
    <row r="101" spans="1:7" x14ac:dyDescent="0.3">
      <c r="A101" t="s">
        <v>252</v>
      </c>
      <c r="B101">
        <v>2019</v>
      </c>
      <c r="C101">
        <v>9</v>
      </c>
      <c r="D101">
        <v>16</v>
      </c>
      <c r="E101">
        <v>259</v>
      </c>
      <c r="F101" s="98">
        <f>I101/'[1]sol - RG19'!$M$5</f>
        <v>0</v>
      </c>
      <c r="G101">
        <v>-999.99</v>
      </c>
    </row>
    <row r="102" spans="1:7" x14ac:dyDescent="0.3">
      <c r="A102" t="s">
        <v>252</v>
      </c>
      <c r="B102">
        <v>2019</v>
      </c>
      <c r="C102">
        <v>9</v>
      </c>
      <c r="D102">
        <v>18</v>
      </c>
      <c r="E102">
        <v>261</v>
      </c>
      <c r="F102" s="98">
        <f>I102/'[1]sol - RG19'!$M$5</f>
        <v>0</v>
      </c>
      <c r="G102">
        <v>-999.99</v>
      </c>
    </row>
    <row r="103" spans="1:7" x14ac:dyDescent="0.3">
      <c r="A103" t="s">
        <v>252</v>
      </c>
      <c r="B103">
        <v>2019</v>
      </c>
      <c r="C103">
        <v>10</v>
      </c>
      <c r="D103">
        <v>9</v>
      </c>
      <c r="E103">
        <v>282</v>
      </c>
      <c r="F103">
        <v>-999.99</v>
      </c>
      <c r="G103">
        <v>55.1</v>
      </c>
    </row>
  </sheetData>
  <phoneticPr fontId="1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F8394-A528-4E0D-BB07-C7B9F4F05503}">
  <dimension ref="A1:H35"/>
  <sheetViews>
    <sheetView workbookViewId="0">
      <selection activeCell="H2" sqref="H2:I34"/>
    </sheetView>
  </sheetViews>
  <sheetFormatPr defaultRowHeight="14.4" x14ac:dyDescent="0.3"/>
  <cols>
    <col min="5" max="5" width="11.44140625" customWidth="1"/>
  </cols>
  <sheetData>
    <row r="1" spans="1:8" ht="15" thickBot="1" x14ac:dyDescent="0.35">
      <c r="A1" s="102" t="s">
        <v>241</v>
      </c>
      <c r="B1" s="102" t="s">
        <v>242</v>
      </c>
      <c r="C1" s="102" t="s">
        <v>243</v>
      </c>
      <c r="D1" s="103" t="s">
        <v>244</v>
      </c>
      <c r="E1" s="122" t="s">
        <v>290</v>
      </c>
      <c r="F1" t="s">
        <v>246</v>
      </c>
    </row>
    <row r="2" spans="1:8" x14ac:dyDescent="0.3">
      <c r="A2">
        <v>2019</v>
      </c>
      <c r="B2">
        <v>7</v>
      </c>
      <c r="C2">
        <v>2</v>
      </c>
      <c r="D2">
        <v>183</v>
      </c>
      <c r="E2" s="98">
        <v>0.2</v>
      </c>
      <c r="F2">
        <v>-999.99</v>
      </c>
      <c r="H2" s="115"/>
    </row>
    <row r="3" spans="1:8" x14ac:dyDescent="0.3">
      <c r="A3">
        <v>2019</v>
      </c>
      <c r="B3">
        <v>7</v>
      </c>
      <c r="C3">
        <v>3</v>
      </c>
      <c r="D3">
        <v>184</v>
      </c>
      <c r="E3" s="98">
        <v>0.18</v>
      </c>
      <c r="F3">
        <v>-999.99</v>
      </c>
      <c r="H3" s="116"/>
    </row>
    <row r="4" spans="1:8" x14ac:dyDescent="0.3">
      <c r="A4">
        <v>2019</v>
      </c>
      <c r="B4">
        <v>7</v>
      </c>
      <c r="C4">
        <v>8</v>
      </c>
      <c r="D4">
        <v>189</v>
      </c>
      <c r="E4" s="98">
        <v>0.2</v>
      </c>
      <c r="F4">
        <v>-999.99</v>
      </c>
      <c r="H4" s="116"/>
    </row>
    <row r="5" spans="1:8" x14ac:dyDescent="0.3">
      <c r="A5">
        <v>2019</v>
      </c>
      <c r="B5">
        <v>7</v>
      </c>
      <c r="C5">
        <v>10</v>
      </c>
      <c r="D5">
        <v>191</v>
      </c>
      <c r="E5" s="98">
        <v>0.18</v>
      </c>
      <c r="F5">
        <v>-999.99</v>
      </c>
      <c r="H5" s="116"/>
    </row>
    <row r="6" spans="1:8" x14ac:dyDescent="0.3">
      <c r="A6">
        <v>2019</v>
      </c>
      <c r="B6">
        <v>7</v>
      </c>
      <c r="C6">
        <v>12</v>
      </c>
      <c r="D6">
        <v>193</v>
      </c>
      <c r="E6" s="98">
        <v>0.16</v>
      </c>
      <c r="F6">
        <v>-999.99</v>
      </c>
      <c r="H6" s="116"/>
    </row>
    <row r="7" spans="1:8" x14ac:dyDescent="0.3">
      <c r="A7">
        <v>2019</v>
      </c>
      <c r="B7">
        <v>7</v>
      </c>
      <c r="C7">
        <v>15</v>
      </c>
      <c r="D7">
        <v>196</v>
      </c>
      <c r="E7" s="98">
        <v>0.18</v>
      </c>
      <c r="F7">
        <v>-999.99</v>
      </c>
      <c r="H7" s="116"/>
    </row>
    <row r="8" spans="1:8" x14ac:dyDescent="0.3">
      <c r="A8">
        <v>2019</v>
      </c>
      <c r="B8">
        <v>7</v>
      </c>
      <c r="C8">
        <v>17</v>
      </c>
      <c r="D8">
        <v>198</v>
      </c>
      <c r="E8" s="98">
        <v>0.17</v>
      </c>
      <c r="F8">
        <v>-999.99</v>
      </c>
      <c r="H8" s="116"/>
    </row>
    <row r="9" spans="1:8" x14ac:dyDescent="0.3">
      <c r="A9">
        <v>2019</v>
      </c>
      <c r="B9">
        <v>7</v>
      </c>
      <c r="C9">
        <v>19</v>
      </c>
      <c r="D9">
        <v>200</v>
      </c>
      <c r="E9" s="98">
        <v>0.17</v>
      </c>
      <c r="F9">
        <v>-999.99</v>
      </c>
      <c r="H9" s="116"/>
    </row>
    <row r="10" spans="1:8" x14ac:dyDescent="0.3">
      <c r="A10">
        <v>2019</v>
      </c>
      <c r="B10">
        <v>7</v>
      </c>
      <c r="C10">
        <v>22</v>
      </c>
      <c r="D10">
        <v>203</v>
      </c>
      <c r="E10" s="98">
        <v>0.18</v>
      </c>
      <c r="F10">
        <v>-999.99</v>
      </c>
      <c r="H10" s="116"/>
    </row>
    <row r="11" spans="1:8" x14ac:dyDescent="0.3">
      <c r="A11">
        <v>2019</v>
      </c>
      <c r="B11">
        <v>7</v>
      </c>
      <c r="C11">
        <v>24</v>
      </c>
      <c r="D11">
        <v>205</v>
      </c>
      <c r="E11" s="98">
        <v>0.16</v>
      </c>
      <c r="F11">
        <v>-999.99</v>
      </c>
      <c r="H11" s="116"/>
    </row>
    <row r="12" spans="1:8" x14ac:dyDescent="0.3">
      <c r="A12">
        <v>2019</v>
      </c>
      <c r="B12">
        <v>7</v>
      </c>
      <c r="C12">
        <v>26</v>
      </c>
      <c r="D12">
        <v>207</v>
      </c>
      <c r="E12" s="98">
        <v>0.14000000000000001</v>
      </c>
      <c r="F12">
        <v>-999.99</v>
      </c>
      <c r="H12" s="117"/>
    </row>
    <row r="13" spans="1:8" x14ac:dyDescent="0.3">
      <c r="A13">
        <v>2019</v>
      </c>
      <c r="B13">
        <v>7</v>
      </c>
      <c r="C13">
        <v>29</v>
      </c>
      <c r="D13">
        <v>210</v>
      </c>
      <c r="E13" s="98">
        <v>0.11</v>
      </c>
      <c r="F13">
        <v>-999.99</v>
      </c>
      <c r="H13" s="116"/>
    </row>
    <row r="14" spans="1:8" x14ac:dyDescent="0.3">
      <c r="A14">
        <v>2019</v>
      </c>
      <c r="B14">
        <v>7</v>
      </c>
      <c r="C14">
        <v>31</v>
      </c>
      <c r="D14">
        <v>212</v>
      </c>
      <c r="E14" s="98">
        <v>0.11</v>
      </c>
      <c r="F14">
        <v>-999.99</v>
      </c>
      <c r="H14" s="117"/>
    </row>
    <row r="15" spans="1:8" x14ac:dyDescent="0.3">
      <c r="A15">
        <v>2019</v>
      </c>
      <c r="B15">
        <v>8</v>
      </c>
      <c r="C15">
        <v>2</v>
      </c>
      <c r="D15">
        <v>214</v>
      </c>
      <c r="E15" s="98">
        <v>8.5000000000000006E-2</v>
      </c>
      <c r="F15">
        <v>-999.99</v>
      </c>
      <c r="H15" s="116"/>
    </row>
    <row r="16" spans="1:8" x14ac:dyDescent="0.3">
      <c r="A16">
        <v>2019</v>
      </c>
      <c r="B16">
        <v>8</v>
      </c>
      <c r="C16">
        <v>5</v>
      </c>
      <c r="D16">
        <v>217</v>
      </c>
      <c r="E16" s="98">
        <v>7.400000000000001E-2</v>
      </c>
      <c r="F16">
        <v>-999.99</v>
      </c>
      <c r="H16" s="116"/>
    </row>
    <row r="17" spans="1:8" x14ac:dyDescent="0.3">
      <c r="A17">
        <v>2019</v>
      </c>
      <c r="B17">
        <v>8</v>
      </c>
      <c r="C17">
        <v>7</v>
      </c>
      <c r="D17">
        <v>219</v>
      </c>
      <c r="E17" s="98">
        <v>8.1000000000000003E-2</v>
      </c>
      <c r="F17">
        <v>-999.99</v>
      </c>
      <c r="H17" s="117"/>
    </row>
    <row r="18" spans="1:8" x14ac:dyDescent="0.3">
      <c r="A18">
        <v>2019</v>
      </c>
      <c r="B18">
        <v>8</v>
      </c>
      <c r="C18">
        <v>10</v>
      </c>
      <c r="D18">
        <v>222</v>
      </c>
      <c r="E18" s="98">
        <v>0.13</v>
      </c>
      <c r="F18">
        <v>-999.99</v>
      </c>
      <c r="H18" s="118"/>
    </row>
    <row r="19" spans="1:8" x14ac:dyDescent="0.3">
      <c r="A19">
        <v>2019</v>
      </c>
      <c r="B19">
        <v>8</v>
      </c>
      <c r="C19">
        <v>12</v>
      </c>
      <c r="D19">
        <v>224</v>
      </c>
      <c r="E19" s="98">
        <v>9.5000000000000001E-2</v>
      </c>
      <c r="F19">
        <v>-999.99</v>
      </c>
      <c r="H19" s="116"/>
    </row>
    <row r="20" spans="1:8" x14ac:dyDescent="0.3">
      <c r="A20">
        <v>2019</v>
      </c>
      <c r="B20">
        <v>8</v>
      </c>
      <c r="C20">
        <v>14</v>
      </c>
      <c r="D20">
        <v>226</v>
      </c>
      <c r="E20" s="98">
        <v>0.08</v>
      </c>
      <c r="F20">
        <v>-999.99</v>
      </c>
      <c r="H20" s="117"/>
    </row>
    <row r="21" spans="1:8" x14ac:dyDescent="0.3">
      <c r="A21">
        <v>2019</v>
      </c>
      <c r="B21">
        <v>8</v>
      </c>
      <c r="C21">
        <v>19</v>
      </c>
      <c r="D21">
        <v>231</v>
      </c>
      <c r="E21" s="98">
        <v>6.5000000000000002E-2</v>
      </c>
      <c r="F21">
        <v>-999.99</v>
      </c>
      <c r="H21" s="116"/>
    </row>
    <row r="22" spans="1:8" x14ac:dyDescent="0.3">
      <c r="A22">
        <v>2019</v>
      </c>
      <c r="B22">
        <v>8</v>
      </c>
      <c r="C22">
        <v>22</v>
      </c>
      <c r="D22">
        <v>234</v>
      </c>
      <c r="E22" s="98">
        <v>9.5000000000000001E-2</v>
      </c>
      <c r="F22">
        <v>-999.99</v>
      </c>
      <c r="H22" s="117"/>
    </row>
    <row r="23" spans="1:8" x14ac:dyDescent="0.3">
      <c r="A23">
        <v>2019</v>
      </c>
      <c r="B23">
        <v>8</v>
      </c>
      <c r="C23">
        <v>23</v>
      </c>
      <c r="D23">
        <v>235</v>
      </c>
      <c r="E23" s="98">
        <v>0.08</v>
      </c>
      <c r="F23">
        <v>-999.99</v>
      </c>
      <c r="H23" s="116"/>
    </row>
    <row r="24" spans="1:8" x14ac:dyDescent="0.3">
      <c r="A24">
        <v>2019</v>
      </c>
      <c r="B24">
        <v>8</v>
      </c>
      <c r="C24">
        <v>26</v>
      </c>
      <c r="D24">
        <v>238</v>
      </c>
      <c r="E24" s="98">
        <v>7.0000000000000007E-2</v>
      </c>
      <c r="F24">
        <v>-999.99</v>
      </c>
      <c r="H24" s="116"/>
    </row>
    <row r="25" spans="1:8" x14ac:dyDescent="0.3">
      <c r="A25">
        <v>2019</v>
      </c>
      <c r="B25">
        <v>8</v>
      </c>
      <c r="C25">
        <v>28</v>
      </c>
      <c r="D25">
        <v>240</v>
      </c>
      <c r="E25" s="98">
        <v>0.09</v>
      </c>
      <c r="F25">
        <v>-999.99</v>
      </c>
      <c r="H25" s="117"/>
    </row>
    <row r="26" spans="1:8" x14ac:dyDescent="0.3">
      <c r="A26">
        <v>2019</v>
      </c>
      <c r="B26">
        <v>8</v>
      </c>
      <c r="C26">
        <v>30</v>
      </c>
      <c r="D26">
        <v>242</v>
      </c>
      <c r="E26" s="98">
        <v>0.24</v>
      </c>
      <c r="F26">
        <v>-999.99</v>
      </c>
      <c r="H26" s="119"/>
    </row>
    <row r="27" spans="1:8" x14ac:dyDescent="0.3">
      <c r="A27">
        <v>2019</v>
      </c>
      <c r="B27">
        <v>9</v>
      </c>
      <c r="C27">
        <v>2</v>
      </c>
      <c r="D27">
        <v>245</v>
      </c>
      <c r="E27" s="98">
        <v>0.22</v>
      </c>
      <c r="F27">
        <v>-999.99</v>
      </c>
      <c r="H27" s="120"/>
    </row>
    <row r="28" spans="1:8" x14ac:dyDescent="0.3">
      <c r="A28">
        <v>2019</v>
      </c>
      <c r="B28">
        <v>9</v>
      </c>
      <c r="C28">
        <v>4</v>
      </c>
      <c r="D28">
        <v>247</v>
      </c>
      <c r="E28" s="98">
        <v>0.18</v>
      </c>
      <c r="F28">
        <v>-999.99</v>
      </c>
      <c r="H28" s="120"/>
    </row>
    <row r="29" spans="1:8" x14ac:dyDescent="0.3">
      <c r="A29">
        <v>2019</v>
      </c>
      <c r="B29">
        <v>9</v>
      </c>
      <c r="C29">
        <v>6</v>
      </c>
      <c r="D29">
        <v>249</v>
      </c>
      <c r="E29" s="98">
        <v>0.18</v>
      </c>
      <c r="F29">
        <v>-999.99</v>
      </c>
      <c r="H29" s="120"/>
    </row>
    <row r="30" spans="1:8" x14ac:dyDescent="0.3">
      <c r="A30">
        <v>2019</v>
      </c>
      <c r="B30">
        <v>9</v>
      </c>
      <c r="C30">
        <v>9</v>
      </c>
      <c r="D30">
        <v>252</v>
      </c>
      <c r="E30" s="98">
        <v>0.28000000000000003</v>
      </c>
      <c r="F30">
        <v>-999.99</v>
      </c>
      <c r="H30" s="120"/>
    </row>
    <row r="31" spans="1:8" x14ac:dyDescent="0.3">
      <c r="A31">
        <v>2019</v>
      </c>
      <c r="B31">
        <v>9</v>
      </c>
      <c r="C31">
        <v>11</v>
      </c>
      <c r="D31">
        <v>254</v>
      </c>
      <c r="E31" s="98">
        <v>0.27</v>
      </c>
      <c r="F31">
        <v>-999.99</v>
      </c>
      <c r="H31" s="120"/>
    </row>
    <row r="32" spans="1:8" x14ac:dyDescent="0.3">
      <c r="A32">
        <v>2019</v>
      </c>
      <c r="B32">
        <v>9</v>
      </c>
      <c r="C32">
        <v>13</v>
      </c>
      <c r="D32">
        <v>256</v>
      </c>
      <c r="E32" s="98">
        <v>0.22500000000000001</v>
      </c>
      <c r="F32">
        <v>-999.99</v>
      </c>
      <c r="H32" s="120"/>
    </row>
    <row r="33" spans="1:8" x14ac:dyDescent="0.3">
      <c r="A33">
        <v>2019</v>
      </c>
      <c r="B33">
        <v>9</v>
      </c>
      <c r="C33">
        <v>16</v>
      </c>
      <c r="D33">
        <v>259</v>
      </c>
      <c r="E33" s="98">
        <v>0.24</v>
      </c>
      <c r="F33">
        <v>-999.99</v>
      </c>
      <c r="H33" s="120"/>
    </row>
    <row r="34" spans="1:8" x14ac:dyDescent="0.3">
      <c r="A34">
        <v>2019</v>
      </c>
      <c r="B34">
        <v>9</v>
      </c>
      <c r="C34">
        <v>18</v>
      </c>
      <c r="D34">
        <v>261</v>
      </c>
      <c r="E34" s="98">
        <v>0.22</v>
      </c>
      <c r="F34">
        <v>-999.99</v>
      </c>
      <c r="H34" s="121"/>
    </row>
    <row r="35" spans="1:8" x14ac:dyDescent="0.3">
      <c r="A35">
        <v>2019</v>
      </c>
      <c r="B35">
        <v>10</v>
      </c>
      <c r="C35">
        <v>9</v>
      </c>
      <c r="D35">
        <v>282</v>
      </c>
      <c r="E35">
        <v>-999.99</v>
      </c>
      <c r="F35">
        <v>37.4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F112F-42D4-40CB-94EF-AA79E045C25A}">
  <dimension ref="A1:G35"/>
  <sheetViews>
    <sheetView workbookViewId="0">
      <selection activeCell="G2" sqref="G2:H34"/>
    </sheetView>
  </sheetViews>
  <sheetFormatPr defaultRowHeight="14.4" x14ac:dyDescent="0.3"/>
  <sheetData>
    <row r="1" spans="1:7" ht="15" thickBot="1" x14ac:dyDescent="0.35">
      <c r="A1" s="102" t="s">
        <v>241</v>
      </c>
      <c r="B1" s="102" t="s">
        <v>242</v>
      </c>
      <c r="C1" s="102" t="s">
        <v>243</v>
      </c>
      <c r="D1" s="103" t="s">
        <v>244</v>
      </c>
      <c r="E1" s="122" t="s">
        <v>290</v>
      </c>
    </row>
    <row r="2" spans="1:7" x14ac:dyDescent="0.3">
      <c r="A2">
        <v>2019</v>
      </c>
      <c r="B2">
        <v>7</v>
      </c>
      <c r="C2">
        <v>2</v>
      </c>
      <c r="D2">
        <v>183</v>
      </c>
      <c r="E2">
        <v>0.2</v>
      </c>
      <c r="G2" s="123"/>
    </row>
    <row r="3" spans="1:7" x14ac:dyDescent="0.3">
      <c r="A3">
        <v>2019</v>
      </c>
      <c r="B3">
        <v>7</v>
      </c>
      <c r="C3">
        <v>3</v>
      </c>
      <c r="D3">
        <v>184</v>
      </c>
      <c r="E3">
        <v>0.18</v>
      </c>
      <c r="G3" s="119"/>
    </row>
    <row r="4" spans="1:7" x14ac:dyDescent="0.3">
      <c r="A4">
        <v>2019</v>
      </c>
      <c r="B4">
        <v>7</v>
      </c>
      <c r="C4">
        <v>8</v>
      </c>
      <c r="D4">
        <v>189</v>
      </c>
      <c r="E4">
        <v>0.2</v>
      </c>
      <c r="G4" s="119"/>
    </row>
    <row r="5" spans="1:7" x14ac:dyDescent="0.3">
      <c r="A5">
        <v>2019</v>
      </c>
      <c r="B5">
        <v>7</v>
      </c>
      <c r="C5">
        <v>10</v>
      </c>
      <c r="D5">
        <v>191</v>
      </c>
      <c r="E5">
        <v>0.19</v>
      </c>
      <c r="G5" s="119"/>
    </row>
    <row r="6" spans="1:7" x14ac:dyDescent="0.3">
      <c r="A6">
        <v>2019</v>
      </c>
      <c r="B6">
        <v>7</v>
      </c>
      <c r="C6">
        <v>12</v>
      </c>
      <c r="D6">
        <v>193</v>
      </c>
      <c r="E6">
        <v>0.17</v>
      </c>
      <c r="G6" s="119"/>
    </row>
    <row r="7" spans="1:7" x14ac:dyDescent="0.3">
      <c r="A7">
        <v>2019</v>
      </c>
      <c r="B7">
        <v>7</v>
      </c>
      <c r="C7">
        <v>15</v>
      </c>
      <c r="D7">
        <v>196</v>
      </c>
      <c r="E7">
        <v>0.18</v>
      </c>
      <c r="G7" s="119"/>
    </row>
    <row r="8" spans="1:7" x14ac:dyDescent="0.3">
      <c r="A8">
        <v>2019</v>
      </c>
      <c r="B8">
        <v>7</v>
      </c>
      <c r="C8">
        <v>17</v>
      </c>
      <c r="D8">
        <v>198</v>
      </c>
      <c r="E8">
        <v>0.19</v>
      </c>
      <c r="G8" s="119"/>
    </row>
    <row r="9" spans="1:7" x14ac:dyDescent="0.3">
      <c r="A9">
        <v>2019</v>
      </c>
      <c r="B9">
        <v>7</v>
      </c>
      <c r="C9">
        <v>19</v>
      </c>
      <c r="D9">
        <v>200</v>
      </c>
      <c r="E9">
        <v>0.17</v>
      </c>
      <c r="G9" s="119"/>
    </row>
    <row r="10" spans="1:7" x14ac:dyDescent="0.3">
      <c r="A10">
        <v>2019</v>
      </c>
      <c r="B10">
        <v>7</v>
      </c>
      <c r="C10">
        <v>22</v>
      </c>
      <c r="D10">
        <v>203</v>
      </c>
      <c r="E10">
        <v>0.17</v>
      </c>
      <c r="G10" s="119"/>
    </row>
    <row r="11" spans="1:7" x14ac:dyDescent="0.3">
      <c r="A11">
        <v>2019</v>
      </c>
      <c r="B11">
        <v>7</v>
      </c>
      <c r="C11">
        <v>24</v>
      </c>
      <c r="D11">
        <v>205</v>
      </c>
      <c r="E11">
        <v>0.14000000000000001</v>
      </c>
      <c r="G11" s="119"/>
    </row>
    <row r="12" spans="1:7" x14ac:dyDescent="0.3">
      <c r="A12">
        <v>2019</v>
      </c>
      <c r="B12">
        <v>7</v>
      </c>
      <c r="C12">
        <v>26</v>
      </c>
      <c r="D12">
        <v>207</v>
      </c>
      <c r="E12">
        <v>0.18</v>
      </c>
      <c r="G12" s="124"/>
    </row>
    <row r="13" spans="1:7" x14ac:dyDescent="0.3">
      <c r="A13">
        <v>2019</v>
      </c>
      <c r="B13">
        <v>7</v>
      </c>
      <c r="C13">
        <v>29</v>
      </c>
      <c r="D13">
        <v>210</v>
      </c>
      <c r="E13">
        <v>0.13</v>
      </c>
      <c r="G13" s="119"/>
    </row>
    <row r="14" spans="1:7" x14ac:dyDescent="0.3">
      <c r="A14">
        <v>2019</v>
      </c>
      <c r="B14">
        <v>7</v>
      </c>
      <c r="C14">
        <v>31</v>
      </c>
      <c r="D14">
        <v>212</v>
      </c>
      <c r="E14">
        <v>0.2</v>
      </c>
      <c r="G14" s="124"/>
    </row>
    <row r="15" spans="1:7" x14ac:dyDescent="0.3">
      <c r="A15">
        <v>2019</v>
      </c>
      <c r="B15">
        <v>8</v>
      </c>
      <c r="C15">
        <v>2</v>
      </c>
      <c r="D15">
        <v>214</v>
      </c>
      <c r="E15">
        <v>0.12</v>
      </c>
      <c r="G15" s="119"/>
    </row>
    <row r="16" spans="1:7" x14ac:dyDescent="0.3">
      <c r="A16">
        <v>2019</v>
      </c>
      <c r="B16">
        <v>8</v>
      </c>
      <c r="C16">
        <v>5</v>
      </c>
      <c r="D16">
        <v>217</v>
      </c>
      <c r="E16">
        <v>0.14000000000000001</v>
      </c>
      <c r="G16" s="119"/>
    </row>
    <row r="17" spans="1:7" x14ac:dyDescent="0.3">
      <c r="A17">
        <v>2019</v>
      </c>
      <c r="B17">
        <v>8</v>
      </c>
      <c r="C17">
        <v>7</v>
      </c>
      <c r="D17">
        <v>219</v>
      </c>
      <c r="E17">
        <v>0.11</v>
      </c>
      <c r="G17" s="124"/>
    </row>
    <row r="18" spans="1:7" x14ac:dyDescent="0.3">
      <c r="A18">
        <v>2019</v>
      </c>
      <c r="B18">
        <v>8</v>
      </c>
      <c r="C18">
        <v>10</v>
      </c>
      <c r="D18">
        <v>222</v>
      </c>
      <c r="E18">
        <v>0.2</v>
      </c>
      <c r="G18" s="124"/>
    </row>
    <row r="19" spans="1:7" x14ac:dyDescent="0.3">
      <c r="A19">
        <v>2019</v>
      </c>
      <c r="B19">
        <v>8</v>
      </c>
      <c r="C19">
        <v>12</v>
      </c>
      <c r="D19">
        <v>224</v>
      </c>
      <c r="E19">
        <v>0.14000000000000001</v>
      </c>
      <c r="G19" s="119"/>
    </row>
    <row r="20" spans="1:7" x14ac:dyDescent="0.3">
      <c r="A20">
        <v>2019</v>
      </c>
      <c r="B20">
        <v>8</v>
      </c>
      <c r="C20">
        <v>14</v>
      </c>
      <c r="D20">
        <v>226</v>
      </c>
      <c r="E20">
        <v>0.2</v>
      </c>
      <c r="G20" s="124"/>
    </row>
    <row r="21" spans="1:7" x14ac:dyDescent="0.3">
      <c r="A21">
        <v>2019</v>
      </c>
      <c r="B21">
        <v>8</v>
      </c>
      <c r="C21">
        <v>19</v>
      </c>
      <c r="D21">
        <v>231</v>
      </c>
      <c r="E21">
        <v>0.2</v>
      </c>
      <c r="G21" s="119"/>
    </row>
    <row r="22" spans="1:7" x14ac:dyDescent="0.3">
      <c r="A22">
        <v>2019</v>
      </c>
      <c r="B22">
        <v>8</v>
      </c>
      <c r="C22">
        <v>22</v>
      </c>
      <c r="D22">
        <v>234</v>
      </c>
      <c r="E22">
        <v>0.21</v>
      </c>
      <c r="G22" s="124"/>
    </row>
    <row r="23" spans="1:7" x14ac:dyDescent="0.3">
      <c r="A23">
        <v>2019</v>
      </c>
      <c r="B23">
        <v>8</v>
      </c>
      <c r="C23">
        <v>23</v>
      </c>
      <c r="D23">
        <v>235</v>
      </c>
      <c r="E23">
        <v>0.23</v>
      </c>
      <c r="G23" s="119"/>
    </row>
    <row r="24" spans="1:7" x14ac:dyDescent="0.3">
      <c r="A24">
        <v>2019</v>
      </c>
      <c r="B24">
        <v>8</v>
      </c>
      <c r="C24">
        <v>26</v>
      </c>
      <c r="D24">
        <v>238</v>
      </c>
      <c r="E24">
        <v>0.26</v>
      </c>
      <c r="G24" s="119"/>
    </row>
    <row r="25" spans="1:7" x14ac:dyDescent="0.3">
      <c r="A25">
        <v>2019</v>
      </c>
      <c r="B25">
        <v>8</v>
      </c>
      <c r="C25">
        <v>28</v>
      </c>
      <c r="D25">
        <v>240</v>
      </c>
      <c r="E25">
        <v>0.2</v>
      </c>
      <c r="G25" s="124"/>
    </row>
    <row r="26" spans="1:7" x14ac:dyDescent="0.3">
      <c r="A26">
        <v>2019</v>
      </c>
      <c r="B26">
        <v>8</v>
      </c>
      <c r="C26">
        <v>30</v>
      </c>
      <c r="D26">
        <v>242</v>
      </c>
      <c r="E26">
        <v>0.28000000000000003</v>
      </c>
      <c r="G26" s="119"/>
    </row>
    <row r="27" spans="1:7" x14ac:dyDescent="0.3">
      <c r="A27">
        <v>2019</v>
      </c>
      <c r="B27">
        <v>9</v>
      </c>
      <c r="C27">
        <v>2</v>
      </c>
      <c r="D27">
        <v>245</v>
      </c>
      <c r="E27">
        <v>0.24</v>
      </c>
      <c r="G27" s="120"/>
    </row>
    <row r="28" spans="1:7" x14ac:dyDescent="0.3">
      <c r="A28">
        <v>2019</v>
      </c>
      <c r="B28">
        <v>9</v>
      </c>
      <c r="C28">
        <v>4</v>
      </c>
      <c r="D28">
        <v>247</v>
      </c>
      <c r="E28">
        <v>0.22500000000000001</v>
      </c>
      <c r="G28" s="120"/>
    </row>
    <row r="29" spans="1:7" x14ac:dyDescent="0.3">
      <c r="A29">
        <v>2019</v>
      </c>
      <c r="B29">
        <v>9</v>
      </c>
      <c r="C29">
        <v>6</v>
      </c>
      <c r="D29">
        <v>249</v>
      </c>
      <c r="E29">
        <v>0.21</v>
      </c>
      <c r="G29" s="120"/>
    </row>
    <row r="30" spans="1:7" x14ac:dyDescent="0.3">
      <c r="A30">
        <v>2019</v>
      </c>
      <c r="B30">
        <v>9</v>
      </c>
      <c r="C30">
        <v>9</v>
      </c>
      <c r="D30">
        <v>252</v>
      </c>
      <c r="E30">
        <v>0.3</v>
      </c>
      <c r="G30" s="120"/>
    </row>
    <row r="31" spans="1:7" x14ac:dyDescent="0.3">
      <c r="A31">
        <v>2019</v>
      </c>
      <c r="B31">
        <v>9</v>
      </c>
      <c r="C31">
        <v>11</v>
      </c>
      <c r="D31">
        <v>254</v>
      </c>
      <c r="E31">
        <v>0.28000000000000003</v>
      </c>
      <c r="G31" s="120"/>
    </row>
    <row r="32" spans="1:7" x14ac:dyDescent="0.3">
      <c r="A32">
        <v>2019</v>
      </c>
      <c r="B32">
        <v>9</v>
      </c>
      <c r="C32">
        <v>13</v>
      </c>
      <c r="D32">
        <v>256</v>
      </c>
      <c r="E32">
        <v>0.24</v>
      </c>
      <c r="G32" s="120"/>
    </row>
    <row r="33" spans="1:7" x14ac:dyDescent="0.3">
      <c r="A33">
        <v>2019</v>
      </c>
      <c r="B33">
        <v>9</v>
      </c>
      <c r="C33">
        <v>16</v>
      </c>
      <c r="D33">
        <v>259</v>
      </c>
      <c r="E33">
        <v>0.28999999999999998</v>
      </c>
      <c r="G33" s="120"/>
    </row>
    <row r="34" spans="1:7" x14ac:dyDescent="0.3">
      <c r="A34">
        <v>2019</v>
      </c>
      <c r="B34">
        <v>9</v>
      </c>
      <c r="C34">
        <v>18</v>
      </c>
      <c r="D34">
        <v>261</v>
      </c>
      <c r="E34">
        <v>0.23</v>
      </c>
      <c r="G34" s="120"/>
    </row>
    <row r="35" spans="1:7" x14ac:dyDescent="0.3">
      <c r="A35">
        <v>2019</v>
      </c>
      <c r="B35">
        <v>10</v>
      </c>
      <c r="C35">
        <v>9</v>
      </c>
      <c r="D35">
        <v>282</v>
      </c>
      <c r="E35">
        <v>-999.99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60C10-F4B4-47E6-AA86-24CC1049E206}">
  <dimension ref="A1:G35"/>
  <sheetViews>
    <sheetView workbookViewId="0">
      <selection activeCell="G2" sqref="G2:H34"/>
    </sheetView>
  </sheetViews>
  <sheetFormatPr defaultRowHeight="14.4" x14ac:dyDescent="0.3"/>
  <sheetData>
    <row r="1" spans="1:7" ht="15" thickBot="1" x14ac:dyDescent="0.35">
      <c r="A1" s="102" t="s">
        <v>241</v>
      </c>
      <c r="B1" s="102" t="s">
        <v>242</v>
      </c>
      <c r="C1" s="102" t="s">
        <v>243</v>
      </c>
      <c r="D1" s="103" t="s">
        <v>244</v>
      </c>
      <c r="E1" s="122" t="s">
        <v>290</v>
      </c>
    </row>
    <row r="2" spans="1:7" x14ac:dyDescent="0.3">
      <c r="A2">
        <v>2019</v>
      </c>
      <c r="B2">
        <v>7</v>
      </c>
      <c r="C2">
        <v>2</v>
      </c>
      <c r="D2">
        <v>183</v>
      </c>
      <c r="E2">
        <v>0.21</v>
      </c>
      <c r="G2" s="123"/>
    </row>
    <row r="3" spans="1:7" x14ac:dyDescent="0.3">
      <c r="A3">
        <v>2019</v>
      </c>
      <c r="B3">
        <v>7</v>
      </c>
      <c r="C3">
        <v>3</v>
      </c>
      <c r="D3">
        <v>184</v>
      </c>
      <c r="E3">
        <v>0.18</v>
      </c>
      <c r="G3" s="119"/>
    </row>
    <row r="4" spans="1:7" x14ac:dyDescent="0.3">
      <c r="A4">
        <v>2019</v>
      </c>
      <c r="B4">
        <v>7</v>
      </c>
      <c r="C4">
        <v>8</v>
      </c>
      <c r="D4">
        <v>189</v>
      </c>
      <c r="E4">
        <v>0.2</v>
      </c>
      <c r="G4" s="119"/>
    </row>
    <row r="5" spans="1:7" x14ac:dyDescent="0.3">
      <c r="A5">
        <v>2019</v>
      </c>
      <c r="B5">
        <v>7</v>
      </c>
      <c r="C5">
        <v>10</v>
      </c>
      <c r="D5">
        <v>191</v>
      </c>
      <c r="E5">
        <v>0.21</v>
      </c>
      <c r="G5" s="119"/>
    </row>
    <row r="6" spans="1:7" x14ac:dyDescent="0.3">
      <c r="A6">
        <v>2019</v>
      </c>
      <c r="B6">
        <v>7</v>
      </c>
      <c r="C6">
        <v>12</v>
      </c>
      <c r="D6">
        <v>193</v>
      </c>
      <c r="E6">
        <v>0.16</v>
      </c>
      <c r="G6" s="119"/>
    </row>
    <row r="7" spans="1:7" x14ac:dyDescent="0.3">
      <c r="A7">
        <v>2019</v>
      </c>
      <c r="B7">
        <v>7</v>
      </c>
      <c r="C7">
        <v>15</v>
      </c>
      <c r="D7">
        <v>196</v>
      </c>
      <c r="E7">
        <v>0.18</v>
      </c>
      <c r="G7" s="119"/>
    </row>
    <row r="8" spans="1:7" x14ac:dyDescent="0.3">
      <c r="A8">
        <v>2019</v>
      </c>
      <c r="B8">
        <v>7</v>
      </c>
      <c r="C8">
        <v>17</v>
      </c>
      <c r="D8">
        <v>198</v>
      </c>
      <c r="E8">
        <v>0.2</v>
      </c>
      <c r="G8" s="119"/>
    </row>
    <row r="9" spans="1:7" x14ac:dyDescent="0.3">
      <c r="A9">
        <v>2019</v>
      </c>
      <c r="B9">
        <v>7</v>
      </c>
      <c r="C9">
        <v>19</v>
      </c>
      <c r="D9">
        <v>200</v>
      </c>
      <c r="E9">
        <v>0.17</v>
      </c>
      <c r="G9" s="119"/>
    </row>
    <row r="10" spans="1:7" x14ac:dyDescent="0.3">
      <c r="A10">
        <v>2019</v>
      </c>
      <c r="B10">
        <v>7</v>
      </c>
      <c r="C10">
        <v>22</v>
      </c>
      <c r="D10">
        <v>203</v>
      </c>
      <c r="E10">
        <v>0.17</v>
      </c>
      <c r="G10" s="119"/>
    </row>
    <row r="11" spans="1:7" x14ac:dyDescent="0.3">
      <c r="A11">
        <v>2019</v>
      </c>
      <c r="B11">
        <v>7</v>
      </c>
      <c r="C11">
        <v>24</v>
      </c>
      <c r="D11">
        <v>205</v>
      </c>
      <c r="E11">
        <v>0.14000000000000001</v>
      </c>
      <c r="G11" s="119"/>
    </row>
    <row r="12" spans="1:7" x14ac:dyDescent="0.3">
      <c r="A12">
        <v>2019</v>
      </c>
      <c r="B12">
        <v>7</v>
      </c>
      <c r="C12">
        <v>26</v>
      </c>
      <c r="D12">
        <v>207</v>
      </c>
      <c r="E12">
        <v>0.2</v>
      </c>
      <c r="G12" s="124"/>
    </row>
    <row r="13" spans="1:7" x14ac:dyDescent="0.3">
      <c r="A13">
        <v>2019</v>
      </c>
      <c r="B13">
        <v>7</v>
      </c>
      <c r="C13">
        <v>29</v>
      </c>
      <c r="D13">
        <v>210</v>
      </c>
      <c r="E13">
        <v>0.13</v>
      </c>
      <c r="G13" s="119"/>
    </row>
    <row r="14" spans="1:7" x14ac:dyDescent="0.3">
      <c r="A14">
        <v>2019</v>
      </c>
      <c r="B14">
        <v>7</v>
      </c>
      <c r="C14">
        <v>31</v>
      </c>
      <c r="D14">
        <v>212</v>
      </c>
      <c r="E14">
        <v>0.18</v>
      </c>
      <c r="G14" s="124"/>
    </row>
    <row r="15" spans="1:7" x14ac:dyDescent="0.3">
      <c r="A15">
        <v>2019</v>
      </c>
      <c r="B15">
        <v>8</v>
      </c>
      <c r="C15">
        <v>2</v>
      </c>
      <c r="D15">
        <v>214</v>
      </c>
      <c r="E15">
        <v>0.12</v>
      </c>
      <c r="G15" s="119"/>
    </row>
    <row r="16" spans="1:7" x14ac:dyDescent="0.3">
      <c r="A16">
        <v>2019</v>
      </c>
      <c r="B16">
        <v>8</v>
      </c>
      <c r="C16">
        <v>5</v>
      </c>
      <c r="D16">
        <v>217</v>
      </c>
      <c r="E16">
        <v>0.14000000000000001</v>
      </c>
      <c r="G16" s="119"/>
    </row>
    <row r="17" spans="1:7" x14ac:dyDescent="0.3">
      <c r="A17">
        <v>2019</v>
      </c>
      <c r="B17">
        <v>8</v>
      </c>
      <c r="C17">
        <v>7</v>
      </c>
      <c r="D17">
        <v>219</v>
      </c>
      <c r="E17">
        <v>0.125</v>
      </c>
      <c r="G17" s="124"/>
    </row>
    <row r="18" spans="1:7" x14ac:dyDescent="0.3">
      <c r="A18">
        <v>2019</v>
      </c>
      <c r="B18">
        <v>8</v>
      </c>
      <c r="C18">
        <v>10</v>
      </c>
      <c r="D18">
        <v>222</v>
      </c>
      <c r="E18">
        <v>0.21</v>
      </c>
      <c r="G18" s="124"/>
    </row>
    <row r="19" spans="1:7" x14ac:dyDescent="0.3">
      <c r="A19">
        <v>2019</v>
      </c>
      <c r="B19">
        <v>8</v>
      </c>
      <c r="C19">
        <v>12</v>
      </c>
      <c r="D19">
        <v>224</v>
      </c>
      <c r="E19">
        <v>0.14000000000000001</v>
      </c>
      <c r="G19" s="119"/>
    </row>
    <row r="20" spans="1:7" x14ac:dyDescent="0.3">
      <c r="A20">
        <v>2019</v>
      </c>
      <c r="B20">
        <v>8</v>
      </c>
      <c r="C20">
        <v>14</v>
      </c>
      <c r="D20">
        <v>226</v>
      </c>
      <c r="E20">
        <v>0.22</v>
      </c>
      <c r="G20" s="124"/>
    </row>
    <row r="21" spans="1:7" x14ac:dyDescent="0.3">
      <c r="A21">
        <v>2019</v>
      </c>
      <c r="B21">
        <v>8</v>
      </c>
      <c r="C21">
        <v>19</v>
      </c>
      <c r="D21">
        <v>231</v>
      </c>
      <c r="E21">
        <v>0.2</v>
      </c>
      <c r="G21" s="119"/>
    </row>
    <row r="22" spans="1:7" x14ac:dyDescent="0.3">
      <c r="A22">
        <v>2019</v>
      </c>
      <c r="B22">
        <v>8</v>
      </c>
      <c r="C22">
        <v>22</v>
      </c>
      <c r="D22">
        <v>234</v>
      </c>
      <c r="E22">
        <v>0.26</v>
      </c>
      <c r="G22" s="124"/>
    </row>
    <row r="23" spans="1:7" x14ac:dyDescent="0.3">
      <c r="A23">
        <v>2019</v>
      </c>
      <c r="B23">
        <v>8</v>
      </c>
      <c r="C23">
        <v>23</v>
      </c>
      <c r="D23">
        <v>235</v>
      </c>
      <c r="E23">
        <v>0.23</v>
      </c>
      <c r="G23" s="119"/>
    </row>
    <row r="24" spans="1:7" x14ac:dyDescent="0.3">
      <c r="A24">
        <v>2019</v>
      </c>
      <c r="B24">
        <v>8</v>
      </c>
      <c r="C24">
        <v>26</v>
      </c>
      <c r="D24">
        <v>238</v>
      </c>
      <c r="E24">
        <v>0.26</v>
      </c>
      <c r="G24" s="119"/>
    </row>
    <row r="25" spans="1:7" x14ac:dyDescent="0.3">
      <c r="A25">
        <v>2019</v>
      </c>
      <c r="B25">
        <v>8</v>
      </c>
      <c r="C25">
        <v>28</v>
      </c>
      <c r="D25">
        <v>240</v>
      </c>
      <c r="E25">
        <v>0.25</v>
      </c>
      <c r="G25" s="124"/>
    </row>
    <row r="26" spans="1:7" x14ac:dyDescent="0.3">
      <c r="A26">
        <v>2019</v>
      </c>
      <c r="B26">
        <v>8</v>
      </c>
      <c r="C26">
        <v>30</v>
      </c>
      <c r="D26">
        <v>242</v>
      </c>
      <c r="E26">
        <v>0.28000000000000003</v>
      </c>
      <c r="G26" s="119"/>
    </row>
    <row r="27" spans="1:7" x14ac:dyDescent="0.3">
      <c r="A27">
        <v>2019</v>
      </c>
      <c r="B27">
        <v>9</v>
      </c>
      <c r="C27">
        <v>2</v>
      </c>
      <c r="D27">
        <v>245</v>
      </c>
      <c r="E27">
        <v>0.24</v>
      </c>
      <c r="G27" s="120"/>
    </row>
    <row r="28" spans="1:7" x14ac:dyDescent="0.3">
      <c r="A28">
        <v>2019</v>
      </c>
      <c r="B28">
        <v>9</v>
      </c>
      <c r="C28">
        <v>4</v>
      </c>
      <c r="D28">
        <v>247</v>
      </c>
      <c r="E28">
        <v>0.21</v>
      </c>
      <c r="G28" s="120"/>
    </row>
    <row r="29" spans="1:7" x14ac:dyDescent="0.3">
      <c r="A29">
        <v>2019</v>
      </c>
      <c r="B29">
        <v>9</v>
      </c>
      <c r="C29">
        <v>6</v>
      </c>
      <c r="D29">
        <v>249</v>
      </c>
      <c r="E29">
        <v>0.22</v>
      </c>
      <c r="G29" s="120"/>
    </row>
    <row r="30" spans="1:7" x14ac:dyDescent="0.3">
      <c r="A30">
        <v>2019</v>
      </c>
      <c r="B30">
        <v>9</v>
      </c>
      <c r="C30">
        <v>9</v>
      </c>
      <c r="D30">
        <v>252</v>
      </c>
      <c r="E30">
        <v>0.3</v>
      </c>
      <c r="G30" s="120"/>
    </row>
    <row r="31" spans="1:7" x14ac:dyDescent="0.3">
      <c r="A31">
        <v>2019</v>
      </c>
      <c r="B31">
        <v>9</v>
      </c>
      <c r="C31">
        <v>11</v>
      </c>
      <c r="D31">
        <v>254</v>
      </c>
      <c r="E31">
        <v>0.26</v>
      </c>
      <c r="G31" s="120"/>
    </row>
    <row r="32" spans="1:7" x14ac:dyDescent="0.3">
      <c r="A32">
        <v>2019</v>
      </c>
      <c r="B32">
        <v>9</v>
      </c>
      <c r="C32">
        <v>13</v>
      </c>
      <c r="D32">
        <v>256</v>
      </c>
      <c r="E32">
        <v>0.23</v>
      </c>
      <c r="G32" s="120"/>
    </row>
    <row r="33" spans="1:7" x14ac:dyDescent="0.3">
      <c r="A33">
        <v>2019</v>
      </c>
      <c r="B33">
        <v>9</v>
      </c>
      <c r="C33">
        <v>16</v>
      </c>
      <c r="D33">
        <v>259</v>
      </c>
      <c r="E33">
        <v>0.28999999999999998</v>
      </c>
      <c r="G33" s="120"/>
    </row>
    <row r="34" spans="1:7" x14ac:dyDescent="0.3">
      <c r="A34">
        <v>2019</v>
      </c>
      <c r="B34">
        <v>9</v>
      </c>
      <c r="C34">
        <v>18</v>
      </c>
      <c r="D34">
        <v>261</v>
      </c>
      <c r="E34">
        <v>0.22</v>
      </c>
      <c r="G34" s="120"/>
    </row>
    <row r="35" spans="1:7" x14ac:dyDescent="0.3">
      <c r="A35">
        <v>2019</v>
      </c>
      <c r="B35">
        <v>10</v>
      </c>
      <c r="C35">
        <v>9</v>
      </c>
      <c r="D35">
        <v>282</v>
      </c>
      <c r="E35">
        <v>-999.99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D7CD1-0B7A-4B6F-817A-E05AC49C45EF}">
  <dimension ref="A1:F35"/>
  <sheetViews>
    <sheetView topLeftCell="A10" workbookViewId="0">
      <selection sqref="A1:F35"/>
    </sheetView>
  </sheetViews>
  <sheetFormatPr defaultRowHeight="14.4" x14ac:dyDescent="0.3"/>
  <sheetData>
    <row r="1" spans="1:6" ht="15" thickBot="1" x14ac:dyDescent="0.35">
      <c r="A1" s="102" t="s">
        <v>241</v>
      </c>
      <c r="B1" s="102" t="s">
        <v>242</v>
      </c>
      <c r="C1" s="102" t="s">
        <v>243</v>
      </c>
      <c r="D1" s="103" t="s">
        <v>244</v>
      </c>
      <c r="E1" t="s">
        <v>245</v>
      </c>
      <c r="F1" t="s">
        <v>246</v>
      </c>
    </row>
    <row r="2" spans="1:6" x14ac:dyDescent="0.3">
      <c r="A2">
        <v>2019</v>
      </c>
      <c r="B2">
        <v>7</v>
      </c>
      <c r="C2">
        <v>2</v>
      </c>
      <c r="D2">
        <v>183</v>
      </c>
      <c r="E2" s="98">
        <v>14.285714285714286</v>
      </c>
      <c r="F2">
        <v>-999.99</v>
      </c>
    </row>
    <row r="3" spans="1:6" x14ac:dyDescent="0.3">
      <c r="A3">
        <v>2019</v>
      </c>
      <c r="B3">
        <v>7</v>
      </c>
      <c r="C3">
        <v>3</v>
      </c>
      <c r="D3">
        <v>184</v>
      </c>
      <c r="E3" s="98">
        <v>12.857142857142858</v>
      </c>
      <c r="F3">
        <v>-999.99</v>
      </c>
    </row>
    <row r="4" spans="1:6" x14ac:dyDescent="0.3">
      <c r="A4">
        <v>2019</v>
      </c>
      <c r="B4">
        <v>7</v>
      </c>
      <c r="C4">
        <v>8</v>
      </c>
      <c r="D4">
        <v>189</v>
      </c>
      <c r="E4" s="98">
        <v>14.285714285714286</v>
      </c>
      <c r="F4">
        <v>-999.99</v>
      </c>
    </row>
    <row r="5" spans="1:6" x14ac:dyDescent="0.3">
      <c r="A5">
        <v>2019</v>
      </c>
      <c r="B5">
        <v>7</v>
      </c>
      <c r="C5">
        <v>10</v>
      </c>
      <c r="D5">
        <v>191</v>
      </c>
      <c r="E5" s="98">
        <v>12.857142857142858</v>
      </c>
      <c r="F5">
        <v>-999.99</v>
      </c>
    </row>
    <row r="6" spans="1:6" x14ac:dyDescent="0.3">
      <c r="A6">
        <v>2019</v>
      </c>
      <c r="B6">
        <v>7</v>
      </c>
      <c r="C6">
        <v>12</v>
      </c>
      <c r="D6">
        <v>193</v>
      </c>
      <c r="E6" s="98">
        <v>11.428571428571429</v>
      </c>
      <c r="F6">
        <v>-999.99</v>
      </c>
    </row>
    <row r="7" spans="1:6" x14ac:dyDescent="0.3">
      <c r="A7">
        <v>2019</v>
      </c>
      <c r="B7">
        <v>7</v>
      </c>
      <c r="C7">
        <v>15</v>
      </c>
      <c r="D7">
        <v>196</v>
      </c>
      <c r="E7" s="98">
        <v>12.857142857142858</v>
      </c>
      <c r="F7">
        <v>-999.99</v>
      </c>
    </row>
    <row r="8" spans="1:6" x14ac:dyDescent="0.3">
      <c r="A8">
        <v>2019</v>
      </c>
      <c r="B8">
        <v>7</v>
      </c>
      <c r="C8">
        <v>17</v>
      </c>
      <c r="D8">
        <v>198</v>
      </c>
      <c r="E8" s="98">
        <v>12.142857142857144</v>
      </c>
      <c r="F8">
        <v>-999.99</v>
      </c>
    </row>
    <row r="9" spans="1:6" x14ac:dyDescent="0.3">
      <c r="A9">
        <v>2019</v>
      </c>
      <c r="B9">
        <v>7</v>
      </c>
      <c r="C9">
        <v>19</v>
      </c>
      <c r="D9">
        <v>200</v>
      </c>
      <c r="E9" s="98">
        <v>12.142857142857144</v>
      </c>
      <c r="F9">
        <v>-999.99</v>
      </c>
    </row>
    <row r="10" spans="1:6" x14ac:dyDescent="0.3">
      <c r="A10">
        <v>2019</v>
      </c>
      <c r="B10">
        <v>7</v>
      </c>
      <c r="C10">
        <v>22</v>
      </c>
      <c r="D10">
        <v>203</v>
      </c>
      <c r="E10" s="98">
        <v>12.857142857142858</v>
      </c>
      <c r="F10">
        <v>-999.99</v>
      </c>
    </row>
    <row r="11" spans="1:6" x14ac:dyDescent="0.3">
      <c r="A11">
        <v>2019</v>
      </c>
      <c r="B11">
        <v>7</v>
      </c>
      <c r="C11">
        <v>24</v>
      </c>
      <c r="D11">
        <v>205</v>
      </c>
      <c r="E11" s="98">
        <v>11.428571428571429</v>
      </c>
      <c r="F11">
        <v>-999.99</v>
      </c>
    </row>
    <row r="12" spans="1:6" x14ac:dyDescent="0.3">
      <c r="A12">
        <v>2019</v>
      </c>
      <c r="B12">
        <v>7</v>
      </c>
      <c r="C12">
        <v>26</v>
      </c>
      <c r="D12">
        <v>207</v>
      </c>
      <c r="E12" s="98">
        <v>10</v>
      </c>
      <c r="F12">
        <v>-999.99</v>
      </c>
    </row>
    <row r="13" spans="1:6" x14ac:dyDescent="0.3">
      <c r="A13">
        <v>2019</v>
      </c>
      <c r="B13">
        <v>7</v>
      </c>
      <c r="C13">
        <v>29</v>
      </c>
      <c r="D13">
        <v>210</v>
      </c>
      <c r="E13" s="98">
        <v>7.8571428571428577</v>
      </c>
      <c r="F13">
        <v>-999.99</v>
      </c>
    </row>
    <row r="14" spans="1:6" x14ac:dyDescent="0.3">
      <c r="A14">
        <v>2019</v>
      </c>
      <c r="B14">
        <v>7</v>
      </c>
      <c r="C14">
        <v>31</v>
      </c>
      <c r="D14">
        <v>212</v>
      </c>
      <c r="E14" s="98">
        <v>7.8571428571428577</v>
      </c>
      <c r="F14">
        <v>-999.99</v>
      </c>
    </row>
    <row r="15" spans="1:6" x14ac:dyDescent="0.3">
      <c r="A15">
        <v>2019</v>
      </c>
      <c r="B15">
        <v>8</v>
      </c>
      <c r="C15">
        <v>2</v>
      </c>
      <c r="D15">
        <v>214</v>
      </c>
      <c r="E15" s="98">
        <v>6.0714285714285721</v>
      </c>
      <c r="F15">
        <v>-999.99</v>
      </c>
    </row>
    <row r="16" spans="1:6" x14ac:dyDescent="0.3">
      <c r="A16">
        <v>2019</v>
      </c>
      <c r="B16">
        <v>8</v>
      </c>
      <c r="C16">
        <v>5</v>
      </c>
      <c r="D16">
        <v>217</v>
      </c>
      <c r="E16" s="98">
        <v>5.2857142857142865</v>
      </c>
      <c r="F16">
        <v>-999.99</v>
      </c>
    </row>
    <row r="17" spans="1:6" x14ac:dyDescent="0.3">
      <c r="A17">
        <v>2019</v>
      </c>
      <c r="B17">
        <v>8</v>
      </c>
      <c r="C17">
        <v>7</v>
      </c>
      <c r="D17">
        <v>219</v>
      </c>
      <c r="E17" s="98">
        <v>5.7857142857142856</v>
      </c>
      <c r="F17">
        <v>-999.99</v>
      </c>
    </row>
    <row r="18" spans="1:6" x14ac:dyDescent="0.3">
      <c r="A18">
        <v>2019</v>
      </c>
      <c r="B18">
        <v>8</v>
      </c>
      <c r="C18">
        <v>10</v>
      </c>
      <c r="D18">
        <v>222</v>
      </c>
      <c r="E18" s="98">
        <v>9.2857142857142865</v>
      </c>
      <c r="F18">
        <v>-999.99</v>
      </c>
    </row>
    <row r="19" spans="1:6" x14ac:dyDescent="0.3">
      <c r="A19">
        <v>2019</v>
      </c>
      <c r="B19">
        <v>8</v>
      </c>
      <c r="C19">
        <v>12</v>
      </c>
      <c r="D19">
        <v>224</v>
      </c>
      <c r="E19" s="98">
        <v>6.7857142857142865</v>
      </c>
      <c r="F19">
        <v>-999.99</v>
      </c>
    </row>
    <row r="20" spans="1:6" x14ac:dyDescent="0.3">
      <c r="A20">
        <v>2019</v>
      </c>
      <c r="B20">
        <v>8</v>
      </c>
      <c r="C20">
        <v>14</v>
      </c>
      <c r="D20">
        <v>226</v>
      </c>
      <c r="E20" s="98">
        <v>5.7142857142857144</v>
      </c>
      <c r="F20">
        <v>-999.99</v>
      </c>
    </row>
    <row r="21" spans="1:6" x14ac:dyDescent="0.3">
      <c r="A21">
        <v>2019</v>
      </c>
      <c r="B21">
        <v>8</v>
      </c>
      <c r="C21">
        <v>19</v>
      </c>
      <c r="D21">
        <v>231</v>
      </c>
      <c r="E21" s="98">
        <v>4.6428571428571432</v>
      </c>
      <c r="F21">
        <v>-999.99</v>
      </c>
    </row>
    <row r="22" spans="1:6" x14ac:dyDescent="0.3">
      <c r="A22">
        <v>2019</v>
      </c>
      <c r="B22">
        <v>8</v>
      </c>
      <c r="C22">
        <v>22</v>
      </c>
      <c r="D22">
        <v>234</v>
      </c>
      <c r="E22" s="98">
        <v>6.7857142857142865</v>
      </c>
      <c r="F22">
        <v>-999.99</v>
      </c>
    </row>
    <row r="23" spans="1:6" x14ac:dyDescent="0.3">
      <c r="A23">
        <v>2019</v>
      </c>
      <c r="B23">
        <v>8</v>
      </c>
      <c r="C23">
        <v>23</v>
      </c>
      <c r="D23">
        <v>235</v>
      </c>
      <c r="E23" s="98">
        <v>5.7142857142857144</v>
      </c>
      <c r="F23">
        <v>-999.99</v>
      </c>
    </row>
    <row r="24" spans="1:6" x14ac:dyDescent="0.3">
      <c r="A24">
        <v>2019</v>
      </c>
      <c r="B24">
        <v>8</v>
      </c>
      <c r="C24">
        <v>26</v>
      </c>
      <c r="D24">
        <v>238</v>
      </c>
      <c r="E24" s="98">
        <v>5</v>
      </c>
      <c r="F24">
        <v>-999.99</v>
      </c>
    </row>
    <row r="25" spans="1:6" x14ac:dyDescent="0.3">
      <c r="A25">
        <v>2019</v>
      </c>
      <c r="B25">
        <v>8</v>
      </c>
      <c r="C25">
        <v>28</v>
      </c>
      <c r="D25">
        <v>240</v>
      </c>
      <c r="E25" s="98">
        <v>6.4285714285714288</v>
      </c>
      <c r="F25">
        <v>-999.99</v>
      </c>
    </row>
    <row r="26" spans="1:6" x14ac:dyDescent="0.3">
      <c r="A26">
        <v>2019</v>
      </c>
      <c r="B26">
        <v>8</v>
      </c>
      <c r="C26">
        <v>30</v>
      </c>
      <c r="D26">
        <v>242</v>
      </c>
      <c r="E26" s="98">
        <v>17.142857142857142</v>
      </c>
      <c r="F26">
        <v>-999.99</v>
      </c>
    </row>
    <row r="27" spans="1:6" x14ac:dyDescent="0.3">
      <c r="A27">
        <v>2019</v>
      </c>
      <c r="B27">
        <v>9</v>
      </c>
      <c r="C27">
        <v>2</v>
      </c>
      <c r="D27">
        <v>245</v>
      </c>
      <c r="E27" s="98">
        <v>15.714285714285715</v>
      </c>
      <c r="F27">
        <v>-999.99</v>
      </c>
    </row>
    <row r="28" spans="1:6" x14ac:dyDescent="0.3">
      <c r="A28">
        <v>2019</v>
      </c>
      <c r="B28">
        <v>9</v>
      </c>
      <c r="C28">
        <v>4</v>
      </c>
      <c r="D28">
        <v>247</v>
      </c>
      <c r="E28" s="98">
        <v>12.857142857142858</v>
      </c>
      <c r="F28">
        <v>-999.99</v>
      </c>
    </row>
    <row r="29" spans="1:6" x14ac:dyDescent="0.3">
      <c r="A29">
        <v>2019</v>
      </c>
      <c r="B29">
        <v>9</v>
      </c>
      <c r="C29">
        <v>6</v>
      </c>
      <c r="D29">
        <v>249</v>
      </c>
      <c r="E29" s="98">
        <v>12.857142857142858</v>
      </c>
      <c r="F29">
        <v>-999.99</v>
      </c>
    </row>
    <row r="30" spans="1:6" x14ac:dyDescent="0.3">
      <c r="A30">
        <v>2019</v>
      </c>
      <c r="B30">
        <v>9</v>
      </c>
      <c r="C30">
        <v>9</v>
      </c>
      <c r="D30">
        <v>252</v>
      </c>
      <c r="E30" s="98">
        <v>20</v>
      </c>
      <c r="F30">
        <v>-999.99</v>
      </c>
    </row>
    <row r="31" spans="1:6" x14ac:dyDescent="0.3">
      <c r="A31">
        <v>2019</v>
      </c>
      <c r="B31">
        <v>9</v>
      </c>
      <c r="C31">
        <v>11</v>
      </c>
      <c r="D31">
        <v>254</v>
      </c>
      <c r="E31" s="98">
        <v>19.285714285714288</v>
      </c>
      <c r="F31">
        <v>-999.99</v>
      </c>
    </row>
    <row r="32" spans="1:6" x14ac:dyDescent="0.3">
      <c r="A32">
        <v>2019</v>
      </c>
      <c r="B32">
        <v>9</v>
      </c>
      <c r="C32">
        <v>13</v>
      </c>
      <c r="D32">
        <v>256</v>
      </c>
      <c r="E32" s="98">
        <v>16.071428571428573</v>
      </c>
      <c r="F32">
        <v>-999.99</v>
      </c>
    </row>
    <row r="33" spans="1:6" x14ac:dyDescent="0.3">
      <c r="A33">
        <v>2019</v>
      </c>
      <c r="B33">
        <v>9</v>
      </c>
      <c r="C33">
        <v>16</v>
      </c>
      <c r="D33">
        <v>259</v>
      </c>
      <c r="E33" s="98">
        <v>17.142857142857142</v>
      </c>
      <c r="F33">
        <v>-999.99</v>
      </c>
    </row>
    <row r="34" spans="1:6" x14ac:dyDescent="0.3">
      <c r="A34">
        <v>2019</v>
      </c>
      <c r="B34">
        <v>9</v>
      </c>
      <c r="C34">
        <v>18</v>
      </c>
      <c r="D34">
        <v>261</v>
      </c>
      <c r="E34" s="98">
        <v>15.714285714285715</v>
      </c>
      <c r="F34">
        <v>-999.99</v>
      </c>
    </row>
    <row r="35" spans="1:6" x14ac:dyDescent="0.3">
      <c r="A35">
        <v>2019</v>
      </c>
      <c r="B35">
        <v>10</v>
      </c>
      <c r="C35">
        <v>9</v>
      </c>
      <c r="D35">
        <v>282</v>
      </c>
      <c r="E35">
        <v>-999.99</v>
      </c>
      <c r="F35">
        <v>37.4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8231B-D920-4430-A678-5B4149BCA23D}">
  <dimension ref="A1:F35"/>
  <sheetViews>
    <sheetView topLeftCell="A12" workbookViewId="0">
      <selection sqref="A1:F35"/>
    </sheetView>
  </sheetViews>
  <sheetFormatPr defaultRowHeight="14.4" x14ac:dyDescent="0.3"/>
  <sheetData>
    <row r="1" spans="1:6" ht="15" thickBot="1" x14ac:dyDescent="0.35">
      <c r="A1" s="102" t="s">
        <v>241</v>
      </c>
      <c r="B1" s="102" t="s">
        <v>242</v>
      </c>
      <c r="C1" s="102" t="s">
        <v>243</v>
      </c>
      <c r="D1" s="103" t="s">
        <v>244</v>
      </c>
      <c r="E1" t="s">
        <v>245</v>
      </c>
      <c r="F1" t="s">
        <v>246</v>
      </c>
    </row>
    <row r="2" spans="1:6" x14ac:dyDescent="0.3">
      <c r="A2">
        <v>2019</v>
      </c>
      <c r="B2">
        <v>7</v>
      </c>
      <c r="C2">
        <v>2</v>
      </c>
      <c r="D2">
        <v>183</v>
      </c>
      <c r="E2" s="98">
        <v>14.285714285714286</v>
      </c>
      <c r="F2">
        <v>-999.99</v>
      </c>
    </row>
    <row r="3" spans="1:6" x14ac:dyDescent="0.3">
      <c r="A3">
        <v>2019</v>
      </c>
      <c r="B3">
        <v>7</v>
      </c>
      <c r="C3">
        <v>3</v>
      </c>
      <c r="D3">
        <v>184</v>
      </c>
      <c r="E3" s="98">
        <v>12.857142857142858</v>
      </c>
      <c r="F3">
        <v>-999.99</v>
      </c>
    </row>
    <row r="4" spans="1:6" x14ac:dyDescent="0.3">
      <c r="A4">
        <v>2019</v>
      </c>
      <c r="B4">
        <v>7</v>
      </c>
      <c r="C4">
        <v>8</v>
      </c>
      <c r="D4">
        <v>189</v>
      </c>
      <c r="E4" s="98">
        <v>14.285714285714286</v>
      </c>
      <c r="F4">
        <v>-999.99</v>
      </c>
    </row>
    <row r="5" spans="1:6" x14ac:dyDescent="0.3">
      <c r="A5">
        <v>2019</v>
      </c>
      <c r="B5">
        <v>7</v>
      </c>
      <c r="C5">
        <v>10</v>
      </c>
      <c r="D5">
        <v>191</v>
      </c>
      <c r="E5" s="98">
        <v>13.571428571428573</v>
      </c>
      <c r="F5">
        <v>-999.99</v>
      </c>
    </row>
    <row r="6" spans="1:6" x14ac:dyDescent="0.3">
      <c r="A6">
        <v>2019</v>
      </c>
      <c r="B6">
        <v>7</v>
      </c>
      <c r="C6">
        <v>12</v>
      </c>
      <c r="D6">
        <v>193</v>
      </c>
      <c r="E6" s="98">
        <v>12.142857142857144</v>
      </c>
      <c r="F6">
        <v>-999.99</v>
      </c>
    </row>
    <row r="7" spans="1:6" x14ac:dyDescent="0.3">
      <c r="A7">
        <v>2019</v>
      </c>
      <c r="B7">
        <v>7</v>
      </c>
      <c r="C7">
        <v>15</v>
      </c>
      <c r="D7">
        <v>196</v>
      </c>
      <c r="E7" s="98">
        <v>12.857142857142858</v>
      </c>
      <c r="F7">
        <v>-999.99</v>
      </c>
    </row>
    <row r="8" spans="1:6" x14ac:dyDescent="0.3">
      <c r="A8">
        <v>2019</v>
      </c>
      <c r="B8">
        <v>7</v>
      </c>
      <c r="C8">
        <v>17</v>
      </c>
      <c r="D8">
        <v>198</v>
      </c>
      <c r="E8" s="98">
        <v>13.571428571428573</v>
      </c>
      <c r="F8">
        <v>-999.99</v>
      </c>
    </row>
    <row r="9" spans="1:6" x14ac:dyDescent="0.3">
      <c r="A9">
        <v>2019</v>
      </c>
      <c r="B9">
        <v>7</v>
      </c>
      <c r="C9">
        <v>19</v>
      </c>
      <c r="D9">
        <v>200</v>
      </c>
      <c r="E9" s="98">
        <v>12.142857142857144</v>
      </c>
      <c r="F9">
        <v>-999.99</v>
      </c>
    </row>
    <row r="10" spans="1:6" x14ac:dyDescent="0.3">
      <c r="A10">
        <v>2019</v>
      </c>
      <c r="B10">
        <v>7</v>
      </c>
      <c r="C10">
        <v>22</v>
      </c>
      <c r="D10">
        <v>203</v>
      </c>
      <c r="E10" s="98">
        <v>12.142857142857144</v>
      </c>
      <c r="F10">
        <v>-999.99</v>
      </c>
    </row>
    <row r="11" spans="1:6" x14ac:dyDescent="0.3">
      <c r="A11">
        <v>2019</v>
      </c>
      <c r="B11">
        <v>7</v>
      </c>
      <c r="C11">
        <v>24</v>
      </c>
      <c r="D11">
        <v>205</v>
      </c>
      <c r="E11" s="98">
        <v>10</v>
      </c>
      <c r="F11">
        <v>-999.99</v>
      </c>
    </row>
    <row r="12" spans="1:6" x14ac:dyDescent="0.3">
      <c r="A12">
        <v>2019</v>
      </c>
      <c r="B12">
        <v>7</v>
      </c>
      <c r="C12">
        <v>26</v>
      </c>
      <c r="D12">
        <v>207</v>
      </c>
      <c r="E12" s="98">
        <v>12.857142857142858</v>
      </c>
      <c r="F12">
        <v>-999.99</v>
      </c>
    </row>
    <row r="13" spans="1:6" x14ac:dyDescent="0.3">
      <c r="A13">
        <v>2019</v>
      </c>
      <c r="B13">
        <v>7</v>
      </c>
      <c r="C13">
        <v>29</v>
      </c>
      <c r="D13">
        <v>210</v>
      </c>
      <c r="E13" s="98">
        <v>9.2857142857142865</v>
      </c>
      <c r="F13">
        <v>-999.99</v>
      </c>
    </row>
    <row r="14" spans="1:6" x14ac:dyDescent="0.3">
      <c r="A14">
        <v>2019</v>
      </c>
      <c r="B14">
        <v>7</v>
      </c>
      <c r="C14">
        <v>31</v>
      </c>
      <c r="D14">
        <v>212</v>
      </c>
      <c r="E14" s="98">
        <v>14.285714285714286</v>
      </c>
      <c r="F14">
        <v>-999.99</v>
      </c>
    </row>
    <row r="15" spans="1:6" x14ac:dyDescent="0.3">
      <c r="A15">
        <v>2019</v>
      </c>
      <c r="B15">
        <v>8</v>
      </c>
      <c r="C15">
        <v>2</v>
      </c>
      <c r="D15">
        <v>214</v>
      </c>
      <c r="E15" s="98">
        <v>8.5714285714285712</v>
      </c>
      <c r="F15">
        <v>-999.99</v>
      </c>
    </row>
    <row r="16" spans="1:6" x14ac:dyDescent="0.3">
      <c r="A16">
        <v>2019</v>
      </c>
      <c r="B16">
        <v>8</v>
      </c>
      <c r="C16">
        <v>5</v>
      </c>
      <c r="D16">
        <v>217</v>
      </c>
      <c r="E16" s="98">
        <v>10</v>
      </c>
      <c r="F16">
        <v>-999.99</v>
      </c>
    </row>
    <row r="17" spans="1:6" x14ac:dyDescent="0.3">
      <c r="A17">
        <v>2019</v>
      </c>
      <c r="B17">
        <v>8</v>
      </c>
      <c r="C17">
        <v>7</v>
      </c>
      <c r="D17">
        <v>219</v>
      </c>
      <c r="E17" s="98">
        <v>7.8571428571428577</v>
      </c>
      <c r="F17">
        <v>-999.99</v>
      </c>
    </row>
    <row r="18" spans="1:6" x14ac:dyDescent="0.3">
      <c r="A18">
        <v>2019</v>
      </c>
      <c r="B18">
        <v>8</v>
      </c>
      <c r="C18">
        <v>10</v>
      </c>
      <c r="D18">
        <v>222</v>
      </c>
      <c r="E18" s="98">
        <v>14.285714285714286</v>
      </c>
      <c r="F18">
        <v>-999.99</v>
      </c>
    </row>
    <row r="19" spans="1:6" x14ac:dyDescent="0.3">
      <c r="A19">
        <v>2019</v>
      </c>
      <c r="B19">
        <v>8</v>
      </c>
      <c r="C19">
        <v>12</v>
      </c>
      <c r="D19">
        <v>224</v>
      </c>
      <c r="E19" s="98">
        <v>10</v>
      </c>
      <c r="F19">
        <v>-999.99</v>
      </c>
    </row>
    <row r="20" spans="1:6" x14ac:dyDescent="0.3">
      <c r="A20">
        <v>2019</v>
      </c>
      <c r="B20">
        <v>8</v>
      </c>
      <c r="C20">
        <v>14</v>
      </c>
      <c r="D20">
        <v>226</v>
      </c>
      <c r="E20" s="98">
        <v>14.285714285714286</v>
      </c>
      <c r="F20">
        <v>-999.99</v>
      </c>
    </row>
    <row r="21" spans="1:6" x14ac:dyDescent="0.3">
      <c r="A21">
        <v>2019</v>
      </c>
      <c r="B21">
        <v>8</v>
      </c>
      <c r="C21">
        <v>19</v>
      </c>
      <c r="D21">
        <v>231</v>
      </c>
      <c r="E21" s="98">
        <v>14.285714285714286</v>
      </c>
      <c r="F21">
        <v>-999.99</v>
      </c>
    </row>
    <row r="22" spans="1:6" x14ac:dyDescent="0.3">
      <c r="A22">
        <v>2019</v>
      </c>
      <c r="B22">
        <v>8</v>
      </c>
      <c r="C22">
        <v>22</v>
      </c>
      <c r="D22">
        <v>234</v>
      </c>
      <c r="E22" s="98">
        <v>15.000000000000002</v>
      </c>
      <c r="F22">
        <v>-999.99</v>
      </c>
    </row>
    <row r="23" spans="1:6" x14ac:dyDescent="0.3">
      <c r="A23">
        <v>2019</v>
      </c>
      <c r="B23">
        <v>8</v>
      </c>
      <c r="C23">
        <v>23</v>
      </c>
      <c r="D23">
        <v>235</v>
      </c>
      <c r="E23" s="98">
        <v>16.428571428571431</v>
      </c>
      <c r="F23">
        <v>-999.99</v>
      </c>
    </row>
    <row r="24" spans="1:6" x14ac:dyDescent="0.3">
      <c r="A24">
        <v>2019</v>
      </c>
      <c r="B24">
        <v>8</v>
      </c>
      <c r="C24">
        <v>26</v>
      </c>
      <c r="D24">
        <v>238</v>
      </c>
      <c r="E24" s="98">
        <v>18.571428571428573</v>
      </c>
      <c r="F24">
        <v>-999.99</v>
      </c>
    </row>
    <row r="25" spans="1:6" x14ac:dyDescent="0.3">
      <c r="A25">
        <v>2019</v>
      </c>
      <c r="B25">
        <v>8</v>
      </c>
      <c r="C25">
        <v>28</v>
      </c>
      <c r="D25">
        <v>240</v>
      </c>
      <c r="E25" s="98">
        <v>14.285714285714286</v>
      </c>
      <c r="F25">
        <v>-999.99</v>
      </c>
    </row>
    <row r="26" spans="1:6" x14ac:dyDescent="0.3">
      <c r="A26">
        <v>2019</v>
      </c>
      <c r="B26">
        <v>8</v>
      </c>
      <c r="C26">
        <v>30</v>
      </c>
      <c r="D26">
        <v>242</v>
      </c>
      <c r="E26" s="98">
        <v>20</v>
      </c>
      <c r="F26">
        <v>-999.99</v>
      </c>
    </row>
    <row r="27" spans="1:6" x14ac:dyDescent="0.3">
      <c r="A27">
        <v>2019</v>
      </c>
      <c r="B27">
        <v>9</v>
      </c>
      <c r="C27">
        <v>2</v>
      </c>
      <c r="D27">
        <v>245</v>
      </c>
      <c r="E27" s="98">
        <v>17.142857142857142</v>
      </c>
      <c r="F27">
        <v>-999.99</v>
      </c>
    </row>
    <row r="28" spans="1:6" x14ac:dyDescent="0.3">
      <c r="A28">
        <v>2019</v>
      </c>
      <c r="B28">
        <v>9</v>
      </c>
      <c r="C28">
        <v>4</v>
      </c>
      <c r="D28">
        <v>247</v>
      </c>
      <c r="E28" s="98">
        <v>16.071428571428573</v>
      </c>
      <c r="F28">
        <v>-999.99</v>
      </c>
    </row>
    <row r="29" spans="1:6" x14ac:dyDescent="0.3">
      <c r="A29">
        <v>2019</v>
      </c>
      <c r="B29">
        <v>9</v>
      </c>
      <c r="C29">
        <v>6</v>
      </c>
      <c r="D29">
        <v>249</v>
      </c>
      <c r="E29" s="98">
        <v>15.000000000000002</v>
      </c>
      <c r="F29">
        <v>-999.99</v>
      </c>
    </row>
    <row r="30" spans="1:6" x14ac:dyDescent="0.3">
      <c r="A30">
        <v>2019</v>
      </c>
      <c r="B30">
        <v>9</v>
      </c>
      <c r="C30">
        <v>9</v>
      </c>
      <c r="D30">
        <v>252</v>
      </c>
      <c r="E30" s="98">
        <v>21.428571428571431</v>
      </c>
      <c r="F30">
        <v>-999.99</v>
      </c>
    </row>
    <row r="31" spans="1:6" x14ac:dyDescent="0.3">
      <c r="A31">
        <v>2019</v>
      </c>
      <c r="B31">
        <v>9</v>
      </c>
      <c r="C31">
        <v>11</v>
      </c>
      <c r="D31">
        <v>254</v>
      </c>
      <c r="E31" s="98">
        <v>20</v>
      </c>
      <c r="F31">
        <v>-999.99</v>
      </c>
    </row>
    <row r="32" spans="1:6" x14ac:dyDescent="0.3">
      <c r="A32">
        <v>2019</v>
      </c>
      <c r="B32">
        <v>9</v>
      </c>
      <c r="C32">
        <v>13</v>
      </c>
      <c r="D32">
        <v>256</v>
      </c>
      <c r="E32" s="98">
        <v>17.142857142857142</v>
      </c>
      <c r="F32">
        <v>-999.99</v>
      </c>
    </row>
    <row r="33" spans="1:6" x14ac:dyDescent="0.3">
      <c r="A33">
        <v>2019</v>
      </c>
      <c r="B33">
        <v>9</v>
      </c>
      <c r="C33">
        <v>16</v>
      </c>
      <c r="D33">
        <v>259</v>
      </c>
      <c r="E33" s="98">
        <v>20.714285714285715</v>
      </c>
      <c r="F33">
        <v>-999.99</v>
      </c>
    </row>
    <row r="34" spans="1:6" x14ac:dyDescent="0.3">
      <c r="A34">
        <v>2019</v>
      </c>
      <c r="B34">
        <v>9</v>
      </c>
      <c r="C34">
        <v>18</v>
      </c>
      <c r="D34">
        <v>261</v>
      </c>
      <c r="E34" s="98">
        <v>16.428571428571431</v>
      </c>
      <c r="F34">
        <v>-999.99</v>
      </c>
    </row>
    <row r="35" spans="1:6" x14ac:dyDescent="0.3">
      <c r="A35">
        <v>2019</v>
      </c>
      <c r="B35">
        <v>10</v>
      </c>
      <c r="C35">
        <v>9</v>
      </c>
      <c r="D35">
        <v>282</v>
      </c>
      <c r="E35">
        <v>-999.99</v>
      </c>
      <c r="F35">
        <v>64.5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682BD-D442-4B32-830B-F63B7545490C}">
  <dimension ref="A1:F35"/>
  <sheetViews>
    <sheetView topLeftCell="A12" workbookViewId="0">
      <selection sqref="A1:F35"/>
    </sheetView>
  </sheetViews>
  <sheetFormatPr defaultRowHeight="14.4" x14ac:dyDescent="0.3"/>
  <sheetData>
    <row r="1" spans="1:6" ht="15" thickBot="1" x14ac:dyDescent="0.35">
      <c r="A1" s="102" t="s">
        <v>241</v>
      </c>
      <c r="B1" s="102" t="s">
        <v>242</v>
      </c>
      <c r="C1" s="102" t="s">
        <v>243</v>
      </c>
      <c r="D1" s="103" t="s">
        <v>244</v>
      </c>
      <c r="E1" t="s">
        <v>245</v>
      </c>
      <c r="F1" t="s">
        <v>246</v>
      </c>
    </row>
    <row r="2" spans="1:6" x14ac:dyDescent="0.3">
      <c r="A2">
        <v>2019</v>
      </c>
      <c r="B2">
        <v>7</v>
      </c>
      <c r="C2">
        <v>2</v>
      </c>
      <c r="D2">
        <v>183</v>
      </c>
      <c r="E2" s="98">
        <v>15.000000000000002</v>
      </c>
      <c r="F2">
        <v>-999.99</v>
      </c>
    </row>
    <row r="3" spans="1:6" x14ac:dyDescent="0.3">
      <c r="A3">
        <v>2019</v>
      </c>
      <c r="B3">
        <v>7</v>
      </c>
      <c r="C3">
        <v>3</v>
      </c>
      <c r="D3">
        <v>184</v>
      </c>
      <c r="E3" s="98">
        <v>12.857142857142858</v>
      </c>
      <c r="F3">
        <v>-999.99</v>
      </c>
    </row>
    <row r="4" spans="1:6" x14ac:dyDescent="0.3">
      <c r="A4">
        <v>2019</v>
      </c>
      <c r="B4">
        <v>7</v>
      </c>
      <c r="C4">
        <v>8</v>
      </c>
      <c r="D4">
        <v>189</v>
      </c>
      <c r="E4" s="98">
        <v>14.285714285714286</v>
      </c>
      <c r="F4">
        <v>-999.99</v>
      </c>
    </row>
    <row r="5" spans="1:6" x14ac:dyDescent="0.3">
      <c r="A5">
        <v>2019</v>
      </c>
      <c r="B5">
        <v>7</v>
      </c>
      <c r="C5">
        <v>10</v>
      </c>
      <c r="D5">
        <v>191</v>
      </c>
      <c r="E5" s="98">
        <v>15.000000000000002</v>
      </c>
      <c r="F5">
        <v>-999.99</v>
      </c>
    </row>
    <row r="6" spans="1:6" x14ac:dyDescent="0.3">
      <c r="A6">
        <v>2019</v>
      </c>
      <c r="B6">
        <v>7</v>
      </c>
      <c r="C6">
        <v>12</v>
      </c>
      <c r="D6">
        <v>193</v>
      </c>
      <c r="E6" s="98">
        <v>11.428571428571429</v>
      </c>
      <c r="F6">
        <v>-999.99</v>
      </c>
    </row>
    <row r="7" spans="1:6" x14ac:dyDescent="0.3">
      <c r="A7">
        <v>2019</v>
      </c>
      <c r="B7">
        <v>7</v>
      </c>
      <c r="C7">
        <v>15</v>
      </c>
      <c r="D7">
        <v>196</v>
      </c>
      <c r="E7" s="98">
        <v>12.857142857142858</v>
      </c>
      <c r="F7">
        <v>-999.99</v>
      </c>
    </row>
    <row r="8" spans="1:6" x14ac:dyDescent="0.3">
      <c r="A8">
        <v>2019</v>
      </c>
      <c r="B8">
        <v>7</v>
      </c>
      <c r="C8">
        <v>17</v>
      </c>
      <c r="D8">
        <v>198</v>
      </c>
      <c r="E8" s="98">
        <v>14.285714285714286</v>
      </c>
      <c r="F8">
        <v>-999.99</v>
      </c>
    </row>
    <row r="9" spans="1:6" x14ac:dyDescent="0.3">
      <c r="A9">
        <v>2019</v>
      </c>
      <c r="B9">
        <v>7</v>
      </c>
      <c r="C9">
        <v>19</v>
      </c>
      <c r="D9">
        <v>200</v>
      </c>
      <c r="E9" s="98">
        <v>12.142857142857144</v>
      </c>
      <c r="F9">
        <v>-999.99</v>
      </c>
    </row>
    <row r="10" spans="1:6" x14ac:dyDescent="0.3">
      <c r="A10">
        <v>2019</v>
      </c>
      <c r="B10">
        <v>7</v>
      </c>
      <c r="C10">
        <v>22</v>
      </c>
      <c r="D10">
        <v>203</v>
      </c>
      <c r="E10" s="98">
        <v>12.142857142857144</v>
      </c>
      <c r="F10">
        <v>-999.99</v>
      </c>
    </row>
    <row r="11" spans="1:6" x14ac:dyDescent="0.3">
      <c r="A11">
        <v>2019</v>
      </c>
      <c r="B11">
        <v>7</v>
      </c>
      <c r="C11">
        <v>24</v>
      </c>
      <c r="D11">
        <v>205</v>
      </c>
      <c r="E11" s="98">
        <v>10</v>
      </c>
      <c r="F11">
        <v>-999.99</v>
      </c>
    </row>
    <row r="12" spans="1:6" x14ac:dyDescent="0.3">
      <c r="A12">
        <v>2019</v>
      </c>
      <c r="B12">
        <v>7</v>
      </c>
      <c r="C12">
        <v>26</v>
      </c>
      <c r="D12">
        <v>207</v>
      </c>
      <c r="E12" s="98">
        <v>14.285714285714286</v>
      </c>
      <c r="F12">
        <v>-999.99</v>
      </c>
    </row>
    <row r="13" spans="1:6" x14ac:dyDescent="0.3">
      <c r="A13">
        <v>2019</v>
      </c>
      <c r="B13">
        <v>7</v>
      </c>
      <c r="C13">
        <v>29</v>
      </c>
      <c r="D13">
        <v>210</v>
      </c>
      <c r="E13" s="98">
        <v>9.2857142857142865</v>
      </c>
      <c r="F13">
        <v>-999.99</v>
      </c>
    </row>
    <row r="14" spans="1:6" x14ac:dyDescent="0.3">
      <c r="A14">
        <v>2019</v>
      </c>
      <c r="B14">
        <v>7</v>
      </c>
      <c r="C14">
        <v>31</v>
      </c>
      <c r="D14">
        <v>212</v>
      </c>
      <c r="E14" s="98">
        <v>12.857142857142858</v>
      </c>
      <c r="F14">
        <v>-999.99</v>
      </c>
    </row>
    <row r="15" spans="1:6" x14ac:dyDescent="0.3">
      <c r="A15">
        <v>2019</v>
      </c>
      <c r="B15">
        <v>8</v>
      </c>
      <c r="C15">
        <v>2</v>
      </c>
      <c r="D15">
        <v>214</v>
      </c>
      <c r="E15" s="98">
        <v>8.5714285714285712</v>
      </c>
      <c r="F15">
        <v>-999.99</v>
      </c>
    </row>
    <row r="16" spans="1:6" x14ac:dyDescent="0.3">
      <c r="A16">
        <v>2019</v>
      </c>
      <c r="B16">
        <v>8</v>
      </c>
      <c r="C16">
        <v>5</v>
      </c>
      <c r="D16">
        <v>217</v>
      </c>
      <c r="E16" s="98">
        <v>10</v>
      </c>
      <c r="F16">
        <v>-999.99</v>
      </c>
    </row>
    <row r="17" spans="1:6" x14ac:dyDescent="0.3">
      <c r="A17">
        <v>2019</v>
      </c>
      <c r="B17">
        <v>8</v>
      </c>
      <c r="C17">
        <v>7</v>
      </c>
      <c r="D17">
        <v>219</v>
      </c>
      <c r="E17" s="98">
        <v>8.9285714285714288</v>
      </c>
      <c r="F17">
        <v>-999.99</v>
      </c>
    </row>
    <row r="18" spans="1:6" x14ac:dyDescent="0.3">
      <c r="A18">
        <v>2019</v>
      </c>
      <c r="B18">
        <v>8</v>
      </c>
      <c r="C18">
        <v>10</v>
      </c>
      <c r="D18">
        <v>222</v>
      </c>
      <c r="E18" s="98">
        <v>15.000000000000002</v>
      </c>
      <c r="F18">
        <v>-999.99</v>
      </c>
    </row>
    <row r="19" spans="1:6" x14ac:dyDescent="0.3">
      <c r="A19">
        <v>2019</v>
      </c>
      <c r="B19">
        <v>8</v>
      </c>
      <c r="C19">
        <v>12</v>
      </c>
      <c r="D19">
        <v>224</v>
      </c>
      <c r="E19" s="98">
        <v>10</v>
      </c>
      <c r="F19">
        <v>-999.99</v>
      </c>
    </row>
    <row r="20" spans="1:6" x14ac:dyDescent="0.3">
      <c r="A20">
        <v>2019</v>
      </c>
      <c r="B20">
        <v>8</v>
      </c>
      <c r="C20">
        <v>14</v>
      </c>
      <c r="D20">
        <v>226</v>
      </c>
      <c r="E20" s="98">
        <v>15.714285714285715</v>
      </c>
      <c r="F20">
        <v>-999.99</v>
      </c>
    </row>
    <row r="21" spans="1:6" x14ac:dyDescent="0.3">
      <c r="A21">
        <v>2019</v>
      </c>
      <c r="B21">
        <v>8</v>
      </c>
      <c r="C21">
        <v>19</v>
      </c>
      <c r="D21">
        <v>231</v>
      </c>
      <c r="E21" s="98">
        <v>14.285714285714286</v>
      </c>
      <c r="F21">
        <v>-999.99</v>
      </c>
    </row>
    <row r="22" spans="1:6" x14ac:dyDescent="0.3">
      <c r="A22">
        <v>2019</v>
      </c>
      <c r="B22">
        <v>8</v>
      </c>
      <c r="C22">
        <v>22</v>
      </c>
      <c r="D22">
        <v>234</v>
      </c>
      <c r="E22" s="98">
        <v>18.571428571428573</v>
      </c>
      <c r="F22">
        <v>-999.99</v>
      </c>
    </row>
    <row r="23" spans="1:6" x14ac:dyDescent="0.3">
      <c r="A23">
        <v>2019</v>
      </c>
      <c r="B23">
        <v>8</v>
      </c>
      <c r="C23">
        <v>23</v>
      </c>
      <c r="D23">
        <v>235</v>
      </c>
      <c r="E23" s="98">
        <v>16.428571428571431</v>
      </c>
      <c r="F23">
        <v>-999.99</v>
      </c>
    </row>
    <row r="24" spans="1:6" x14ac:dyDescent="0.3">
      <c r="A24">
        <v>2019</v>
      </c>
      <c r="B24">
        <v>8</v>
      </c>
      <c r="C24">
        <v>26</v>
      </c>
      <c r="D24">
        <v>238</v>
      </c>
      <c r="E24" s="98">
        <v>18.571428571428573</v>
      </c>
      <c r="F24">
        <v>-999.99</v>
      </c>
    </row>
    <row r="25" spans="1:6" x14ac:dyDescent="0.3">
      <c r="A25">
        <v>2019</v>
      </c>
      <c r="B25">
        <v>8</v>
      </c>
      <c r="C25">
        <v>28</v>
      </c>
      <c r="D25">
        <v>240</v>
      </c>
      <c r="E25" s="98">
        <v>17.857142857142858</v>
      </c>
      <c r="F25">
        <v>-999.99</v>
      </c>
    </row>
    <row r="26" spans="1:6" x14ac:dyDescent="0.3">
      <c r="A26">
        <v>2019</v>
      </c>
      <c r="B26">
        <v>8</v>
      </c>
      <c r="C26">
        <v>30</v>
      </c>
      <c r="D26">
        <v>242</v>
      </c>
      <c r="E26" s="98">
        <v>20</v>
      </c>
      <c r="F26">
        <v>-999.99</v>
      </c>
    </row>
    <row r="27" spans="1:6" x14ac:dyDescent="0.3">
      <c r="A27">
        <v>2019</v>
      </c>
      <c r="B27">
        <v>9</v>
      </c>
      <c r="C27">
        <v>2</v>
      </c>
      <c r="D27">
        <v>245</v>
      </c>
      <c r="E27" s="98">
        <v>17.142857142857142</v>
      </c>
      <c r="F27">
        <v>-999.99</v>
      </c>
    </row>
    <row r="28" spans="1:6" x14ac:dyDescent="0.3">
      <c r="A28">
        <v>2019</v>
      </c>
      <c r="B28">
        <v>9</v>
      </c>
      <c r="C28">
        <v>4</v>
      </c>
      <c r="D28">
        <v>247</v>
      </c>
      <c r="E28" s="98">
        <v>15.000000000000002</v>
      </c>
      <c r="F28">
        <v>-999.99</v>
      </c>
    </row>
    <row r="29" spans="1:6" x14ac:dyDescent="0.3">
      <c r="A29">
        <v>2019</v>
      </c>
      <c r="B29">
        <v>9</v>
      </c>
      <c r="C29">
        <v>6</v>
      </c>
      <c r="D29">
        <v>249</v>
      </c>
      <c r="E29" s="98">
        <v>15.714285714285715</v>
      </c>
      <c r="F29">
        <v>-999.99</v>
      </c>
    </row>
    <row r="30" spans="1:6" x14ac:dyDescent="0.3">
      <c r="A30">
        <v>2019</v>
      </c>
      <c r="B30">
        <v>9</v>
      </c>
      <c r="C30">
        <v>9</v>
      </c>
      <c r="D30">
        <v>252</v>
      </c>
      <c r="E30" s="98">
        <v>21.428571428571431</v>
      </c>
      <c r="F30">
        <v>-999.99</v>
      </c>
    </row>
    <row r="31" spans="1:6" x14ac:dyDescent="0.3">
      <c r="A31">
        <v>2019</v>
      </c>
      <c r="B31">
        <v>9</v>
      </c>
      <c r="C31">
        <v>11</v>
      </c>
      <c r="D31">
        <v>254</v>
      </c>
      <c r="E31" s="98">
        <v>18.571428571428573</v>
      </c>
      <c r="F31">
        <v>-999.99</v>
      </c>
    </row>
    <row r="32" spans="1:6" x14ac:dyDescent="0.3">
      <c r="A32">
        <v>2019</v>
      </c>
      <c r="B32">
        <v>9</v>
      </c>
      <c r="C32">
        <v>13</v>
      </c>
      <c r="D32">
        <v>256</v>
      </c>
      <c r="E32" s="98">
        <v>16.428571428571431</v>
      </c>
      <c r="F32">
        <v>-999.99</v>
      </c>
    </row>
    <row r="33" spans="1:6" x14ac:dyDescent="0.3">
      <c r="A33">
        <v>2019</v>
      </c>
      <c r="B33">
        <v>9</v>
      </c>
      <c r="C33">
        <v>16</v>
      </c>
      <c r="D33">
        <v>259</v>
      </c>
      <c r="E33" s="98">
        <v>20.714285714285715</v>
      </c>
      <c r="F33">
        <v>-999.99</v>
      </c>
    </row>
    <row r="34" spans="1:6" x14ac:dyDescent="0.3">
      <c r="A34">
        <v>2019</v>
      </c>
      <c r="B34">
        <v>9</v>
      </c>
      <c r="C34">
        <v>18</v>
      </c>
      <c r="D34">
        <v>261</v>
      </c>
      <c r="E34" s="98">
        <v>15.714285714285715</v>
      </c>
      <c r="F34">
        <v>-999.99</v>
      </c>
    </row>
    <row r="35" spans="1:6" x14ac:dyDescent="0.3">
      <c r="A35">
        <v>2019</v>
      </c>
      <c r="B35">
        <v>10</v>
      </c>
      <c r="C35">
        <v>9</v>
      </c>
      <c r="D35">
        <v>282</v>
      </c>
      <c r="E35">
        <v>-999.99</v>
      </c>
      <c r="F35">
        <v>55.1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CF0D0-28F6-4B95-9E2D-44B039838B8B}">
  <dimension ref="A1:F35"/>
  <sheetViews>
    <sheetView workbookViewId="0">
      <selection activeCell="E2" sqref="E2:E34"/>
    </sheetView>
  </sheetViews>
  <sheetFormatPr defaultRowHeight="14.4" x14ac:dyDescent="0.3"/>
  <sheetData>
    <row r="1" spans="1:6" ht="15" thickBot="1" x14ac:dyDescent="0.35">
      <c r="A1" s="102" t="s">
        <v>241</v>
      </c>
      <c r="B1" s="102" t="s">
        <v>242</v>
      </c>
      <c r="C1" s="102" t="s">
        <v>243</v>
      </c>
      <c r="D1" s="103" t="s">
        <v>244</v>
      </c>
      <c r="E1" t="s">
        <v>245</v>
      </c>
      <c r="F1" t="s">
        <v>246</v>
      </c>
    </row>
    <row r="2" spans="1:6" x14ac:dyDescent="0.3">
      <c r="A2">
        <v>2019</v>
      </c>
      <c r="B2">
        <v>7</v>
      </c>
      <c r="C2">
        <v>2</v>
      </c>
      <c r="D2">
        <v>183</v>
      </c>
      <c r="E2" s="98">
        <v>16.666666666666668</v>
      </c>
      <c r="F2">
        <v>-999.99</v>
      </c>
    </row>
    <row r="3" spans="1:6" x14ac:dyDescent="0.3">
      <c r="A3">
        <v>2019</v>
      </c>
      <c r="B3">
        <v>7</v>
      </c>
      <c r="C3">
        <v>3</v>
      </c>
      <c r="D3">
        <v>184</v>
      </c>
      <c r="E3" s="98">
        <v>15</v>
      </c>
      <c r="F3">
        <v>-999.99</v>
      </c>
    </row>
    <row r="4" spans="1:6" x14ac:dyDescent="0.3">
      <c r="A4">
        <v>2019</v>
      </c>
      <c r="B4">
        <v>7</v>
      </c>
      <c r="C4">
        <v>8</v>
      </c>
      <c r="D4">
        <v>189</v>
      </c>
      <c r="E4" s="98">
        <v>16.666666666666668</v>
      </c>
      <c r="F4">
        <v>-999.99</v>
      </c>
    </row>
    <row r="5" spans="1:6" x14ac:dyDescent="0.3">
      <c r="A5">
        <v>2019</v>
      </c>
      <c r="B5">
        <v>7</v>
      </c>
      <c r="C5">
        <v>10</v>
      </c>
      <c r="D5">
        <v>191</v>
      </c>
      <c r="E5" s="98">
        <v>15</v>
      </c>
      <c r="F5">
        <v>-999.99</v>
      </c>
    </row>
    <row r="6" spans="1:6" x14ac:dyDescent="0.3">
      <c r="A6">
        <v>2019</v>
      </c>
      <c r="B6">
        <v>7</v>
      </c>
      <c r="C6">
        <v>12</v>
      </c>
      <c r="D6">
        <v>193</v>
      </c>
      <c r="E6" s="98">
        <v>13.333333333333334</v>
      </c>
      <c r="F6">
        <v>-999.99</v>
      </c>
    </row>
    <row r="7" spans="1:6" x14ac:dyDescent="0.3">
      <c r="A7">
        <v>2019</v>
      </c>
      <c r="B7">
        <v>7</v>
      </c>
      <c r="C7">
        <v>15</v>
      </c>
      <c r="D7">
        <v>196</v>
      </c>
      <c r="E7" s="98">
        <v>15</v>
      </c>
      <c r="F7">
        <v>-999.99</v>
      </c>
    </row>
    <row r="8" spans="1:6" x14ac:dyDescent="0.3">
      <c r="A8">
        <v>2019</v>
      </c>
      <c r="B8">
        <v>7</v>
      </c>
      <c r="C8">
        <v>17</v>
      </c>
      <c r="D8">
        <v>198</v>
      </c>
      <c r="E8" s="98">
        <v>14.166666666666668</v>
      </c>
      <c r="F8">
        <v>-999.99</v>
      </c>
    </row>
    <row r="9" spans="1:6" x14ac:dyDescent="0.3">
      <c r="A9">
        <v>2019</v>
      </c>
      <c r="B9">
        <v>7</v>
      </c>
      <c r="C9">
        <v>19</v>
      </c>
      <c r="D9">
        <v>200</v>
      </c>
      <c r="E9" s="98">
        <v>14.166666666666668</v>
      </c>
      <c r="F9">
        <v>-999.99</v>
      </c>
    </row>
    <row r="10" spans="1:6" x14ac:dyDescent="0.3">
      <c r="A10">
        <v>2019</v>
      </c>
      <c r="B10">
        <v>7</v>
      </c>
      <c r="C10">
        <v>22</v>
      </c>
      <c r="D10">
        <v>203</v>
      </c>
      <c r="E10" s="98">
        <v>15</v>
      </c>
      <c r="F10">
        <v>-999.99</v>
      </c>
    </row>
    <row r="11" spans="1:6" x14ac:dyDescent="0.3">
      <c r="A11">
        <v>2019</v>
      </c>
      <c r="B11">
        <v>7</v>
      </c>
      <c r="C11">
        <v>24</v>
      </c>
      <c r="D11">
        <v>205</v>
      </c>
      <c r="E11" s="98">
        <v>13.333333333333334</v>
      </c>
      <c r="F11">
        <v>-999.99</v>
      </c>
    </row>
    <row r="12" spans="1:6" x14ac:dyDescent="0.3">
      <c r="A12">
        <v>2019</v>
      </c>
      <c r="B12">
        <v>7</v>
      </c>
      <c r="C12">
        <v>26</v>
      </c>
      <c r="D12">
        <v>207</v>
      </c>
      <c r="E12" s="98">
        <v>11.666666666666668</v>
      </c>
      <c r="F12">
        <v>-999.99</v>
      </c>
    </row>
    <row r="13" spans="1:6" x14ac:dyDescent="0.3">
      <c r="A13">
        <v>2019</v>
      </c>
      <c r="B13">
        <v>7</v>
      </c>
      <c r="C13">
        <v>29</v>
      </c>
      <c r="D13">
        <v>210</v>
      </c>
      <c r="E13" s="98">
        <v>9.1666666666666679</v>
      </c>
      <c r="F13">
        <v>-999.99</v>
      </c>
    </row>
    <row r="14" spans="1:6" x14ac:dyDescent="0.3">
      <c r="A14">
        <v>2019</v>
      </c>
      <c r="B14">
        <v>7</v>
      </c>
      <c r="C14">
        <v>31</v>
      </c>
      <c r="D14">
        <v>212</v>
      </c>
      <c r="E14" s="98">
        <v>9.1666666666666679</v>
      </c>
      <c r="F14">
        <v>-999.99</v>
      </c>
    </row>
    <row r="15" spans="1:6" x14ac:dyDescent="0.3">
      <c r="A15">
        <v>2019</v>
      </c>
      <c r="B15">
        <v>8</v>
      </c>
      <c r="C15">
        <v>2</v>
      </c>
      <c r="D15">
        <v>214</v>
      </c>
      <c r="E15" s="98">
        <v>7.0833333333333339</v>
      </c>
      <c r="F15">
        <v>-999.99</v>
      </c>
    </row>
    <row r="16" spans="1:6" x14ac:dyDescent="0.3">
      <c r="A16">
        <v>2019</v>
      </c>
      <c r="B16">
        <v>8</v>
      </c>
      <c r="C16">
        <v>5</v>
      </c>
      <c r="D16">
        <v>217</v>
      </c>
      <c r="E16" s="98">
        <v>6.166666666666667</v>
      </c>
      <c r="F16">
        <v>-999.99</v>
      </c>
    </row>
    <row r="17" spans="1:6" x14ac:dyDescent="0.3">
      <c r="A17">
        <v>2019</v>
      </c>
      <c r="B17">
        <v>8</v>
      </c>
      <c r="C17">
        <v>7</v>
      </c>
      <c r="D17">
        <v>219</v>
      </c>
      <c r="E17" s="98">
        <v>6.75</v>
      </c>
      <c r="F17">
        <v>-999.99</v>
      </c>
    </row>
    <row r="18" spans="1:6" x14ac:dyDescent="0.3">
      <c r="A18">
        <v>2019</v>
      </c>
      <c r="B18">
        <v>8</v>
      </c>
      <c r="C18">
        <v>10</v>
      </c>
      <c r="D18">
        <v>222</v>
      </c>
      <c r="E18" s="98">
        <v>10.833333333333334</v>
      </c>
      <c r="F18">
        <v>-999.99</v>
      </c>
    </row>
    <row r="19" spans="1:6" x14ac:dyDescent="0.3">
      <c r="A19">
        <v>2019</v>
      </c>
      <c r="B19">
        <v>8</v>
      </c>
      <c r="C19">
        <v>12</v>
      </c>
      <c r="D19">
        <v>224</v>
      </c>
      <c r="E19" s="98">
        <v>7.916666666666667</v>
      </c>
      <c r="F19">
        <v>-999.99</v>
      </c>
    </row>
    <row r="20" spans="1:6" x14ac:dyDescent="0.3">
      <c r="A20">
        <v>2019</v>
      </c>
      <c r="B20">
        <v>8</v>
      </c>
      <c r="C20">
        <v>14</v>
      </c>
      <c r="D20">
        <v>226</v>
      </c>
      <c r="E20" s="98">
        <v>6.666666666666667</v>
      </c>
      <c r="F20">
        <v>-999.99</v>
      </c>
    </row>
    <row r="21" spans="1:6" x14ac:dyDescent="0.3">
      <c r="A21">
        <v>2019</v>
      </c>
      <c r="B21">
        <v>8</v>
      </c>
      <c r="C21">
        <v>19</v>
      </c>
      <c r="D21">
        <v>231</v>
      </c>
      <c r="E21" s="98">
        <v>5.416666666666667</v>
      </c>
      <c r="F21">
        <v>-999.99</v>
      </c>
    </row>
    <row r="22" spans="1:6" x14ac:dyDescent="0.3">
      <c r="A22">
        <v>2019</v>
      </c>
      <c r="B22">
        <v>8</v>
      </c>
      <c r="C22">
        <v>22</v>
      </c>
      <c r="D22">
        <v>234</v>
      </c>
      <c r="E22" s="98">
        <v>7.916666666666667</v>
      </c>
      <c r="F22">
        <v>-999.99</v>
      </c>
    </row>
    <row r="23" spans="1:6" x14ac:dyDescent="0.3">
      <c r="A23">
        <v>2019</v>
      </c>
      <c r="B23">
        <v>8</v>
      </c>
      <c r="C23">
        <v>23</v>
      </c>
      <c r="D23">
        <v>235</v>
      </c>
      <c r="E23" s="98">
        <v>6.666666666666667</v>
      </c>
      <c r="F23">
        <v>-999.99</v>
      </c>
    </row>
    <row r="24" spans="1:6" x14ac:dyDescent="0.3">
      <c r="A24">
        <v>2019</v>
      </c>
      <c r="B24">
        <v>8</v>
      </c>
      <c r="C24">
        <v>26</v>
      </c>
      <c r="D24">
        <v>238</v>
      </c>
      <c r="E24" s="98">
        <v>5.8333333333333339</v>
      </c>
      <c r="F24">
        <v>-999.99</v>
      </c>
    </row>
    <row r="25" spans="1:6" x14ac:dyDescent="0.3">
      <c r="A25">
        <v>2019</v>
      </c>
      <c r="B25">
        <v>8</v>
      </c>
      <c r="C25">
        <v>28</v>
      </c>
      <c r="D25">
        <v>240</v>
      </c>
      <c r="E25" s="98">
        <v>7.5</v>
      </c>
      <c r="F25">
        <v>-999.99</v>
      </c>
    </row>
    <row r="26" spans="1:6" x14ac:dyDescent="0.3">
      <c r="A26">
        <v>2019</v>
      </c>
      <c r="B26">
        <v>8</v>
      </c>
      <c r="C26">
        <v>30</v>
      </c>
      <c r="D26">
        <v>242</v>
      </c>
      <c r="E26" s="98">
        <v>20</v>
      </c>
      <c r="F26">
        <v>-999.99</v>
      </c>
    </row>
    <row r="27" spans="1:6" x14ac:dyDescent="0.3">
      <c r="A27">
        <v>2019</v>
      </c>
      <c r="B27">
        <v>9</v>
      </c>
      <c r="C27">
        <v>2</v>
      </c>
      <c r="D27">
        <v>245</v>
      </c>
      <c r="E27" s="98">
        <v>18.333333333333336</v>
      </c>
      <c r="F27">
        <v>-999.99</v>
      </c>
    </row>
    <row r="28" spans="1:6" x14ac:dyDescent="0.3">
      <c r="A28">
        <v>2019</v>
      </c>
      <c r="B28">
        <v>9</v>
      </c>
      <c r="C28">
        <v>4</v>
      </c>
      <c r="D28">
        <v>247</v>
      </c>
      <c r="E28" s="98">
        <v>15</v>
      </c>
      <c r="F28">
        <v>-999.99</v>
      </c>
    </row>
    <row r="29" spans="1:6" x14ac:dyDescent="0.3">
      <c r="A29">
        <v>2019</v>
      </c>
      <c r="B29">
        <v>9</v>
      </c>
      <c r="C29">
        <v>6</v>
      </c>
      <c r="D29">
        <v>249</v>
      </c>
      <c r="E29" s="98">
        <v>15</v>
      </c>
      <c r="F29">
        <v>-999.99</v>
      </c>
    </row>
    <row r="30" spans="1:6" x14ac:dyDescent="0.3">
      <c r="A30">
        <v>2019</v>
      </c>
      <c r="B30">
        <v>9</v>
      </c>
      <c r="C30">
        <v>9</v>
      </c>
      <c r="D30">
        <v>252</v>
      </c>
      <c r="E30" s="98">
        <v>23.333333333333336</v>
      </c>
      <c r="F30">
        <v>-999.99</v>
      </c>
    </row>
    <row r="31" spans="1:6" x14ac:dyDescent="0.3">
      <c r="A31">
        <v>2019</v>
      </c>
      <c r="B31">
        <v>9</v>
      </c>
      <c r="C31">
        <v>11</v>
      </c>
      <c r="D31">
        <v>254</v>
      </c>
      <c r="E31" s="98">
        <v>22.5</v>
      </c>
      <c r="F31">
        <v>-999.99</v>
      </c>
    </row>
    <row r="32" spans="1:6" x14ac:dyDescent="0.3">
      <c r="A32">
        <v>2019</v>
      </c>
      <c r="B32">
        <v>9</v>
      </c>
      <c r="C32">
        <v>13</v>
      </c>
      <c r="D32">
        <v>256</v>
      </c>
      <c r="E32" s="98">
        <v>18.75</v>
      </c>
      <c r="F32">
        <v>-999.99</v>
      </c>
    </row>
    <row r="33" spans="1:6" x14ac:dyDescent="0.3">
      <c r="A33">
        <v>2019</v>
      </c>
      <c r="B33">
        <v>9</v>
      </c>
      <c r="C33">
        <v>16</v>
      </c>
      <c r="D33">
        <v>259</v>
      </c>
      <c r="E33" s="98">
        <v>20</v>
      </c>
      <c r="F33">
        <v>-999.99</v>
      </c>
    </row>
    <row r="34" spans="1:6" x14ac:dyDescent="0.3">
      <c r="A34">
        <v>2019</v>
      </c>
      <c r="B34">
        <v>9</v>
      </c>
      <c r="C34">
        <v>18</v>
      </c>
      <c r="D34">
        <v>261</v>
      </c>
      <c r="E34" s="98">
        <v>18.333333333333336</v>
      </c>
      <c r="F34">
        <v>-999.99</v>
      </c>
    </row>
    <row r="35" spans="1:6" x14ac:dyDescent="0.3">
      <c r="A35">
        <v>2019</v>
      </c>
      <c r="B35">
        <v>10</v>
      </c>
      <c r="C35">
        <v>9</v>
      </c>
      <c r="D35">
        <v>282</v>
      </c>
      <c r="E35">
        <v>-999.99</v>
      </c>
      <c r="F35">
        <v>37.4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DFA66-28F3-410B-B913-064A8589D311}">
  <dimension ref="A1:F35"/>
  <sheetViews>
    <sheetView zoomScale="70" zoomScaleNormal="70" workbookViewId="0">
      <selection activeCell="F2" sqref="F2"/>
    </sheetView>
  </sheetViews>
  <sheetFormatPr defaultRowHeight="14.4" x14ac:dyDescent="0.3"/>
  <sheetData>
    <row r="1" spans="1:6" ht="15" thickBot="1" x14ac:dyDescent="0.35">
      <c r="A1" s="102" t="s">
        <v>241</v>
      </c>
      <c r="B1" s="102" t="s">
        <v>242</v>
      </c>
      <c r="C1" s="102" t="s">
        <v>243</v>
      </c>
      <c r="D1" s="103" t="s">
        <v>244</v>
      </c>
      <c r="E1" t="s">
        <v>245</v>
      </c>
      <c r="F1" t="s">
        <v>246</v>
      </c>
    </row>
    <row r="2" spans="1:6" x14ac:dyDescent="0.3">
      <c r="A2">
        <v>2019</v>
      </c>
      <c r="B2">
        <v>7</v>
      </c>
      <c r="C2">
        <v>2</v>
      </c>
      <c r="D2">
        <v>183</v>
      </c>
      <c r="E2" s="98">
        <v>16.666666666666668</v>
      </c>
      <c r="F2">
        <v>-999.99</v>
      </c>
    </row>
    <row r="3" spans="1:6" x14ac:dyDescent="0.3">
      <c r="A3">
        <v>2019</v>
      </c>
      <c r="B3">
        <v>7</v>
      </c>
      <c r="C3">
        <v>3</v>
      </c>
      <c r="D3">
        <v>184</v>
      </c>
      <c r="E3" s="98">
        <v>15</v>
      </c>
      <c r="F3">
        <v>-999.99</v>
      </c>
    </row>
    <row r="4" spans="1:6" x14ac:dyDescent="0.3">
      <c r="A4">
        <v>2019</v>
      </c>
      <c r="B4">
        <v>7</v>
      </c>
      <c r="C4">
        <v>8</v>
      </c>
      <c r="D4">
        <v>189</v>
      </c>
      <c r="E4" s="98">
        <v>16.666666666666668</v>
      </c>
      <c r="F4">
        <v>-999.99</v>
      </c>
    </row>
    <row r="5" spans="1:6" x14ac:dyDescent="0.3">
      <c r="A5">
        <v>2019</v>
      </c>
      <c r="B5">
        <v>7</v>
      </c>
      <c r="C5">
        <v>10</v>
      </c>
      <c r="D5">
        <v>191</v>
      </c>
      <c r="E5" s="98">
        <v>15.833333333333334</v>
      </c>
      <c r="F5">
        <v>-999.99</v>
      </c>
    </row>
    <row r="6" spans="1:6" x14ac:dyDescent="0.3">
      <c r="A6">
        <v>2019</v>
      </c>
      <c r="B6">
        <v>7</v>
      </c>
      <c r="C6">
        <v>12</v>
      </c>
      <c r="D6">
        <v>193</v>
      </c>
      <c r="E6" s="98">
        <v>14.166666666666668</v>
      </c>
      <c r="F6">
        <v>-999.99</v>
      </c>
    </row>
    <row r="7" spans="1:6" x14ac:dyDescent="0.3">
      <c r="A7">
        <v>2019</v>
      </c>
      <c r="B7">
        <v>7</v>
      </c>
      <c r="C7">
        <v>15</v>
      </c>
      <c r="D7">
        <v>196</v>
      </c>
      <c r="E7" s="98">
        <v>15</v>
      </c>
      <c r="F7">
        <v>-999.99</v>
      </c>
    </row>
    <row r="8" spans="1:6" x14ac:dyDescent="0.3">
      <c r="A8">
        <v>2019</v>
      </c>
      <c r="B8">
        <v>7</v>
      </c>
      <c r="C8">
        <v>17</v>
      </c>
      <c r="D8">
        <v>198</v>
      </c>
      <c r="E8" s="98">
        <v>15.833333333333334</v>
      </c>
      <c r="F8">
        <v>-999.99</v>
      </c>
    </row>
    <row r="9" spans="1:6" x14ac:dyDescent="0.3">
      <c r="A9">
        <v>2019</v>
      </c>
      <c r="B9">
        <v>7</v>
      </c>
      <c r="C9">
        <v>19</v>
      </c>
      <c r="D9">
        <v>200</v>
      </c>
      <c r="E9" s="98">
        <v>14.166666666666668</v>
      </c>
      <c r="F9">
        <v>-999.99</v>
      </c>
    </row>
    <row r="10" spans="1:6" x14ac:dyDescent="0.3">
      <c r="A10">
        <v>2019</v>
      </c>
      <c r="B10">
        <v>7</v>
      </c>
      <c r="C10">
        <v>22</v>
      </c>
      <c r="D10">
        <v>203</v>
      </c>
      <c r="E10" s="98">
        <v>14.166666666666668</v>
      </c>
      <c r="F10">
        <v>-999.99</v>
      </c>
    </row>
    <row r="11" spans="1:6" x14ac:dyDescent="0.3">
      <c r="A11">
        <v>2019</v>
      </c>
      <c r="B11">
        <v>7</v>
      </c>
      <c r="C11">
        <v>24</v>
      </c>
      <c r="D11">
        <v>205</v>
      </c>
      <c r="E11" s="98">
        <v>11.666666666666668</v>
      </c>
      <c r="F11">
        <v>-999.99</v>
      </c>
    </row>
    <row r="12" spans="1:6" x14ac:dyDescent="0.3">
      <c r="A12">
        <v>2019</v>
      </c>
      <c r="B12">
        <v>7</v>
      </c>
      <c r="C12">
        <v>26</v>
      </c>
      <c r="D12">
        <v>207</v>
      </c>
      <c r="E12" s="98">
        <v>15</v>
      </c>
      <c r="F12">
        <v>-999.99</v>
      </c>
    </row>
    <row r="13" spans="1:6" x14ac:dyDescent="0.3">
      <c r="A13">
        <v>2019</v>
      </c>
      <c r="B13">
        <v>7</v>
      </c>
      <c r="C13">
        <v>29</v>
      </c>
      <c r="D13">
        <v>210</v>
      </c>
      <c r="E13" s="98">
        <v>10.833333333333334</v>
      </c>
      <c r="F13">
        <v>-999.99</v>
      </c>
    </row>
    <row r="14" spans="1:6" x14ac:dyDescent="0.3">
      <c r="A14">
        <v>2019</v>
      </c>
      <c r="B14">
        <v>7</v>
      </c>
      <c r="C14">
        <v>31</v>
      </c>
      <c r="D14">
        <v>212</v>
      </c>
      <c r="E14" s="98">
        <v>16.666666666666668</v>
      </c>
      <c r="F14">
        <v>-999.99</v>
      </c>
    </row>
    <row r="15" spans="1:6" x14ac:dyDescent="0.3">
      <c r="A15">
        <v>2019</v>
      </c>
      <c r="B15">
        <v>8</v>
      </c>
      <c r="C15">
        <v>2</v>
      </c>
      <c r="D15">
        <v>214</v>
      </c>
      <c r="E15" s="98">
        <v>10</v>
      </c>
      <c r="F15">
        <v>-999.99</v>
      </c>
    </row>
    <row r="16" spans="1:6" x14ac:dyDescent="0.3">
      <c r="A16">
        <v>2019</v>
      </c>
      <c r="B16">
        <v>8</v>
      </c>
      <c r="C16">
        <v>5</v>
      </c>
      <c r="D16">
        <v>217</v>
      </c>
      <c r="E16" s="98">
        <v>11.666666666666668</v>
      </c>
      <c r="F16">
        <v>-999.99</v>
      </c>
    </row>
    <row r="17" spans="1:6" x14ac:dyDescent="0.3">
      <c r="A17">
        <v>2019</v>
      </c>
      <c r="B17">
        <v>8</v>
      </c>
      <c r="C17">
        <v>7</v>
      </c>
      <c r="D17">
        <v>219</v>
      </c>
      <c r="E17" s="98">
        <v>9.1666666666666679</v>
      </c>
      <c r="F17">
        <v>-999.99</v>
      </c>
    </row>
    <row r="18" spans="1:6" x14ac:dyDescent="0.3">
      <c r="A18">
        <v>2019</v>
      </c>
      <c r="B18">
        <v>8</v>
      </c>
      <c r="C18">
        <v>10</v>
      </c>
      <c r="D18">
        <v>222</v>
      </c>
      <c r="E18" s="98">
        <v>16.666666666666668</v>
      </c>
      <c r="F18">
        <v>-999.99</v>
      </c>
    </row>
    <row r="19" spans="1:6" x14ac:dyDescent="0.3">
      <c r="A19">
        <v>2019</v>
      </c>
      <c r="B19">
        <v>8</v>
      </c>
      <c r="C19">
        <v>12</v>
      </c>
      <c r="D19">
        <v>224</v>
      </c>
      <c r="E19" s="98">
        <v>11.666666666666668</v>
      </c>
      <c r="F19">
        <v>-999.99</v>
      </c>
    </row>
    <row r="20" spans="1:6" x14ac:dyDescent="0.3">
      <c r="A20">
        <v>2019</v>
      </c>
      <c r="B20">
        <v>8</v>
      </c>
      <c r="C20">
        <v>14</v>
      </c>
      <c r="D20">
        <v>226</v>
      </c>
      <c r="E20" s="98">
        <v>16.666666666666668</v>
      </c>
      <c r="F20">
        <v>-999.99</v>
      </c>
    </row>
    <row r="21" spans="1:6" x14ac:dyDescent="0.3">
      <c r="A21">
        <v>2019</v>
      </c>
      <c r="B21">
        <v>8</v>
      </c>
      <c r="C21">
        <v>19</v>
      </c>
      <c r="D21">
        <v>231</v>
      </c>
      <c r="E21" s="98">
        <v>16.666666666666668</v>
      </c>
      <c r="F21">
        <v>-999.99</v>
      </c>
    </row>
    <row r="22" spans="1:6" x14ac:dyDescent="0.3">
      <c r="A22">
        <v>2019</v>
      </c>
      <c r="B22">
        <v>8</v>
      </c>
      <c r="C22">
        <v>22</v>
      </c>
      <c r="D22">
        <v>234</v>
      </c>
      <c r="E22" s="98">
        <v>17.5</v>
      </c>
      <c r="F22">
        <v>-999.99</v>
      </c>
    </row>
    <row r="23" spans="1:6" x14ac:dyDescent="0.3">
      <c r="A23">
        <v>2019</v>
      </c>
      <c r="B23">
        <v>8</v>
      </c>
      <c r="C23">
        <v>23</v>
      </c>
      <c r="D23">
        <v>235</v>
      </c>
      <c r="E23" s="98">
        <v>19.166666666666668</v>
      </c>
      <c r="F23">
        <v>-999.99</v>
      </c>
    </row>
    <row r="24" spans="1:6" x14ac:dyDescent="0.3">
      <c r="A24">
        <v>2019</v>
      </c>
      <c r="B24">
        <v>8</v>
      </c>
      <c r="C24">
        <v>26</v>
      </c>
      <c r="D24">
        <v>238</v>
      </c>
      <c r="E24" s="98">
        <v>21.666666666666668</v>
      </c>
      <c r="F24">
        <v>-999.99</v>
      </c>
    </row>
    <row r="25" spans="1:6" x14ac:dyDescent="0.3">
      <c r="A25">
        <v>2019</v>
      </c>
      <c r="B25">
        <v>8</v>
      </c>
      <c r="C25">
        <v>28</v>
      </c>
      <c r="D25">
        <v>240</v>
      </c>
      <c r="E25" s="98">
        <v>16.666666666666668</v>
      </c>
      <c r="F25">
        <v>-999.99</v>
      </c>
    </row>
    <row r="26" spans="1:6" x14ac:dyDescent="0.3">
      <c r="A26">
        <v>2019</v>
      </c>
      <c r="B26">
        <v>8</v>
      </c>
      <c r="C26">
        <v>30</v>
      </c>
      <c r="D26">
        <v>242</v>
      </c>
      <c r="E26" s="98">
        <v>23.333333333333336</v>
      </c>
      <c r="F26">
        <v>-999.99</v>
      </c>
    </row>
    <row r="27" spans="1:6" x14ac:dyDescent="0.3">
      <c r="A27">
        <v>2019</v>
      </c>
      <c r="B27">
        <v>9</v>
      </c>
      <c r="C27">
        <v>2</v>
      </c>
      <c r="D27">
        <v>245</v>
      </c>
      <c r="E27" s="98">
        <v>20</v>
      </c>
      <c r="F27">
        <v>-999.99</v>
      </c>
    </row>
    <row r="28" spans="1:6" x14ac:dyDescent="0.3">
      <c r="A28">
        <v>2019</v>
      </c>
      <c r="B28">
        <v>9</v>
      </c>
      <c r="C28">
        <v>4</v>
      </c>
      <c r="D28">
        <v>247</v>
      </c>
      <c r="E28" s="98">
        <v>18.75</v>
      </c>
      <c r="F28">
        <v>-999.99</v>
      </c>
    </row>
    <row r="29" spans="1:6" x14ac:dyDescent="0.3">
      <c r="A29">
        <v>2019</v>
      </c>
      <c r="B29">
        <v>9</v>
      </c>
      <c r="C29">
        <v>6</v>
      </c>
      <c r="D29">
        <v>249</v>
      </c>
      <c r="E29" s="98">
        <v>17.5</v>
      </c>
      <c r="F29">
        <v>-999.99</v>
      </c>
    </row>
    <row r="30" spans="1:6" x14ac:dyDescent="0.3">
      <c r="A30">
        <v>2019</v>
      </c>
      <c r="B30">
        <v>9</v>
      </c>
      <c r="C30">
        <v>9</v>
      </c>
      <c r="D30">
        <v>252</v>
      </c>
      <c r="E30" s="98">
        <v>25</v>
      </c>
      <c r="F30">
        <v>-999.99</v>
      </c>
    </row>
    <row r="31" spans="1:6" x14ac:dyDescent="0.3">
      <c r="A31">
        <v>2019</v>
      </c>
      <c r="B31">
        <v>9</v>
      </c>
      <c r="C31">
        <v>11</v>
      </c>
      <c r="D31">
        <v>254</v>
      </c>
      <c r="E31" s="98">
        <v>23.333333333333336</v>
      </c>
      <c r="F31">
        <v>-999.99</v>
      </c>
    </row>
    <row r="32" spans="1:6" x14ac:dyDescent="0.3">
      <c r="A32">
        <v>2019</v>
      </c>
      <c r="B32">
        <v>9</v>
      </c>
      <c r="C32">
        <v>13</v>
      </c>
      <c r="D32">
        <v>256</v>
      </c>
      <c r="E32" s="98">
        <v>20</v>
      </c>
      <c r="F32">
        <v>-999.99</v>
      </c>
    </row>
    <row r="33" spans="1:6" x14ac:dyDescent="0.3">
      <c r="A33">
        <v>2019</v>
      </c>
      <c r="B33">
        <v>9</v>
      </c>
      <c r="C33">
        <v>16</v>
      </c>
      <c r="D33">
        <v>259</v>
      </c>
      <c r="E33" s="98">
        <v>24.166666666666668</v>
      </c>
      <c r="F33">
        <v>-999.99</v>
      </c>
    </row>
    <row r="34" spans="1:6" x14ac:dyDescent="0.3">
      <c r="A34">
        <v>2019</v>
      </c>
      <c r="B34">
        <v>9</v>
      </c>
      <c r="C34">
        <v>18</v>
      </c>
      <c r="D34">
        <v>261</v>
      </c>
      <c r="E34" s="98">
        <v>19.166666666666668</v>
      </c>
      <c r="F34">
        <v>-999.99</v>
      </c>
    </row>
    <row r="35" spans="1:6" x14ac:dyDescent="0.3">
      <c r="A35">
        <v>2019</v>
      </c>
      <c r="B35">
        <v>10</v>
      </c>
      <c r="C35">
        <v>9</v>
      </c>
      <c r="D35">
        <v>282</v>
      </c>
      <c r="E35">
        <v>-999.99</v>
      </c>
      <c r="F35">
        <v>64.5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26B6-EAC3-4E56-B9CB-30ED3498F9FC}">
  <dimension ref="A1:F35"/>
  <sheetViews>
    <sheetView topLeftCell="A18" workbookViewId="0">
      <selection activeCell="E2" sqref="E2:E34"/>
    </sheetView>
  </sheetViews>
  <sheetFormatPr defaultRowHeight="14.4" x14ac:dyDescent="0.3"/>
  <sheetData>
    <row r="1" spans="1:6" ht="15" thickBot="1" x14ac:dyDescent="0.35">
      <c r="A1" s="102" t="s">
        <v>241</v>
      </c>
      <c r="B1" s="102" t="s">
        <v>242</v>
      </c>
      <c r="C1" s="102" t="s">
        <v>243</v>
      </c>
      <c r="D1" s="103" t="s">
        <v>244</v>
      </c>
      <c r="E1" t="s">
        <v>245</v>
      </c>
      <c r="F1" t="s">
        <v>246</v>
      </c>
    </row>
    <row r="2" spans="1:6" x14ac:dyDescent="0.3">
      <c r="A2">
        <v>2019</v>
      </c>
      <c r="B2">
        <v>7</v>
      </c>
      <c r="C2">
        <v>2</v>
      </c>
      <c r="D2">
        <v>183</v>
      </c>
      <c r="E2" s="98">
        <v>17.5</v>
      </c>
      <c r="F2">
        <v>-999.99</v>
      </c>
    </row>
    <row r="3" spans="1:6" x14ac:dyDescent="0.3">
      <c r="A3">
        <v>2019</v>
      </c>
      <c r="B3">
        <v>7</v>
      </c>
      <c r="C3">
        <v>3</v>
      </c>
      <c r="D3">
        <v>184</v>
      </c>
      <c r="E3" s="98">
        <v>15</v>
      </c>
      <c r="F3">
        <v>-999.99</v>
      </c>
    </row>
    <row r="4" spans="1:6" x14ac:dyDescent="0.3">
      <c r="A4">
        <v>2019</v>
      </c>
      <c r="B4">
        <v>7</v>
      </c>
      <c r="C4">
        <v>8</v>
      </c>
      <c r="D4">
        <v>189</v>
      </c>
      <c r="E4" s="98">
        <v>16.666666666666668</v>
      </c>
      <c r="F4">
        <v>-999.99</v>
      </c>
    </row>
    <row r="5" spans="1:6" x14ac:dyDescent="0.3">
      <c r="A5">
        <v>2019</v>
      </c>
      <c r="B5">
        <v>7</v>
      </c>
      <c r="C5">
        <v>10</v>
      </c>
      <c r="D5">
        <v>191</v>
      </c>
      <c r="E5" s="98">
        <v>17.5</v>
      </c>
      <c r="F5">
        <v>-999.99</v>
      </c>
    </row>
    <row r="6" spans="1:6" x14ac:dyDescent="0.3">
      <c r="A6">
        <v>2019</v>
      </c>
      <c r="B6">
        <v>7</v>
      </c>
      <c r="C6">
        <v>12</v>
      </c>
      <c r="D6">
        <v>193</v>
      </c>
      <c r="E6" s="98">
        <v>13.333333333333334</v>
      </c>
      <c r="F6">
        <v>-999.99</v>
      </c>
    </row>
    <row r="7" spans="1:6" x14ac:dyDescent="0.3">
      <c r="A7">
        <v>2019</v>
      </c>
      <c r="B7">
        <v>7</v>
      </c>
      <c r="C7">
        <v>15</v>
      </c>
      <c r="D7">
        <v>196</v>
      </c>
      <c r="E7" s="98">
        <v>15</v>
      </c>
      <c r="F7">
        <v>-999.99</v>
      </c>
    </row>
    <row r="8" spans="1:6" x14ac:dyDescent="0.3">
      <c r="A8">
        <v>2019</v>
      </c>
      <c r="B8">
        <v>7</v>
      </c>
      <c r="C8">
        <v>17</v>
      </c>
      <c r="D8">
        <v>198</v>
      </c>
      <c r="E8" s="98">
        <v>16.666666666666668</v>
      </c>
      <c r="F8">
        <v>-999.99</v>
      </c>
    </row>
    <row r="9" spans="1:6" x14ac:dyDescent="0.3">
      <c r="A9">
        <v>2019</v>
      </c>
      <c r="B9">
        <v>7</v>
      </c>
      <c r="C9">
        <v>19</v>
      </c>
      <c r="D9">
        <v>200</v>
      </c>
      <c r="E9" s="98">
        <v>14.166666666666668</v>
      </c>
      <c r="F9">
        <v>-999.99</v>
      </c>
    </row>
    <row r="10" spans="1:6" x14ac:dyDescent="0.3">
      <c r="A10">
        <v>2019</v>
      </c>
      <c r="B10">
        <v>7</v>
      </c>
      <c r="C10">
        <v>22</v>
      </c>
      <c r="D10">
        <v>203</v>
      </c>
      <c r="E10" s="98">
        <v>14.166666666666668</v>
      </c>
      <c r="F10">
        <v>-999.99</v>
      </c>
    </row>
    <row r="11" spans="1:6" x14ac:dyDescent="0.3">
      <c r="A11">
        <v>2019</v>
      </c>
      <c r="B11">
        <v>7</v>
      </c>
      <c r="C11">
        <v>24</v>
      </c>
      <c r="D11">
        <v>205</v>
      </c>
      <c r="E11" s="98">
        <v>11.666666666666668</v>
      </c>
      <c r="F11">
        <v>-999.99</v>
      </c>
    </row>
    <row r="12" spans="1:6" x14ac:dyDescent="0.3">
      <c r="A12">
        <v>2019</v>
      </c>
      <c r="B12">
        <v>7</v>
      </c>
      <c r="C12">
        <v>26</v>
      </c>
      <c r="D12">
        <v>207</v>
      </c>
      <c r="E12" s="98">
        <v>16.666666666666668</v>
      </c>
      <c r="F12">
        <v>-999.99</v>
      </c>
    </row>
    <row r="13" spans="1:6" x14ac:dyDescent="0.3">
      <c r="A13">
        <v>2019</v>
      </c>
      <c r="B13">
        <v>7</v>
      </c>
      <c r="C13">
        <v>29</v>
      </c>
      <c r="D13">
        <v>210</v>
      </c>
      <c r="E13" s="98">
        <v>10.833333333333334</v>
      </c>
      <c r="F13">
        <v>-999.99</v>
      </c>
    </row>
    <row r="14" spans="1:6" x14ac:dyDescent="0.3">
      <c r="A14">
        <v>2019</v>
      </c>
      <c r="B14">
        <v>7</v>
      </c>
      <c r="C14">
        <v>31</v>
      </c>
      <c r="D14">
        <v>212</v>
      </c>
      <c r="E14" s="98">
        <v>15</v>
      </c>
      <c r="F14">
        <v>-999.99</v>
      </c>
    </row>
    <row r="15" spans="1:6" x14ac:dyDescent="0.3">
      <c r="A15">
        <v>2019</v>
      </c>
      <c r="B15">
        <v>8</v>
      </c>
      <c r="C15">
        <v>2</v>
      </c>
      <c r="D15">
        <v>214</v>
      </c>
      <c r="E15" s="98">
        <v>10</v>
      </c>
      <c r="F15">
        <v>-999.99</v>
      </c>
    </row>
    <row r="16" spans="1:6" x14ac:dyDescent="0.3">
      <c r="A16">
        <v>2019</v>
      </c>
      <c r="B16">
        <v>8</v>
      </c>
      <c r="C16">
        <v>5</v>
      </c>
      <c r="D16">
        <v>217</v>
      </c>
      <c r="E16" s="98">
        <v>11.666666666666668</v>
      </c>
      <c r="F16">
        <v>-999.99</v>
      </c>
    </row>
    <row r="17" spans="1:6" x14ac:dyDescent="0.3">
      <c r="A17">
        <v>2019</v>
      </c>
      <c r="B17">
        <v>8</v>
      </c>
      <c r="C17">
        <v>7</v>
      </c>
      <c r="D17">
        <v>219</v>
      </c>
      <c r="E17" s="98">
        <v>10.416666666666668</v>
      </c>
      <c r="F17">
        <v>-999.99</v>
      </c>
    </row>
    <row r="18" spans="1:6" x14ac:dyDescent="0.3">
      <c r="A18">
        <v>2019</v>
      </c>
      <c r="B18">
        <v>8</v>
      </c>
      <c r="C18">
        <v>10</v>
      </c>
      <c r="D18">
        <v>222</v>
      </c>
      <c r="E18" s="98">
        <v>17.5</v>
      </c>
      <c r="F18">
        <v>-999.99</v>
      </c>
    </row>
    <row r="19" spans="1:6" x14ac:dyDescent="0.3">
      <c r="A19">
        <v>2019</v>
      </c>
      <c r="B19">
        <v>8</v>
      </c>
      <c r="C19">
        <v>12</v>
      </c>
      <c r="D19">
        <v>224</v>
      </c>
      <c r="E19" s="98">
        <v>11.666666666666668</v>
      </c>
      <c r="F19">
        <v>-999.99</v>
      </c>
    </row>
    <row r="20" spans="1:6" x14ac:dyDescent="0.3">
      <c r="A20">
        <v>2019</v>
      </c>
      <c r="B20">
        <v>8</v>
      </c>
      <c r="C20">
        <v>14</v>
      </c>
      <c r="D20">
        <v>226</v>
      </c>
      <c r="E20" s="98">
        <v>18.333333333333336</v>
      </c>
      <c r="F20">
        <v>-999.99</v>
      </c>
    </row>
    <row r="21" spans="1:6" x14ac:dyDescent="0.3">
      <c r="A21">
        <v>2019</v>
      </c>
      <c r="B21">
        <v>8</v>
      </c>
      <c r="C21">
        <v>19</v>
      </c>
      <c r="D21">
        <v>231</v>
      </c>
      <c r="E21" s="98">
        <v>16.666666666666668</v>
      </c>
      <c r="F21">
        <v>-999.99</v>
      </c>
    </row>
    <row r="22" spans="1:6" x14ac:dyDescent="0.3">
      <c r="A22">
        <v>2019</v>
      </c>
      <c r="B22">
        <v>8</v>
      </c>
      <c r="C22">
        <v>22</v>
      </c>
      <c r="D22">
        <v>234</v>
      </c>
      <c r="E22" s="98">
        <v>21.666666666666668</v>
      </c>
      <c r="F22">
        <v>-999.99</v>
      </c>
    </row>
    <row r="23" spans="1:6" x14ac:dyDescent="0.3">
      <c r="A23">
        <v>2019</v>
      </c>
      <c r="B23">
        <v>8</v>
      </c>
      <c r="C23">
        <v>23</v>
      </c>
      <c r="D23">
        <v>235</v>
      </c>
      <c r="E23" s="98">
        <v>19.166666666666668</v>
      </c>
      <c r="F23">
        <v>-999.99</v>
      </c>
    </row>
    <row r="24" spans="1:6" x14ac:dyDescent="0.3">
      <c r="A24">
        <v>2019</v>
      </c>
      <c r="B24">
        <v>8</v>
      </c>
      <c r="C24">
        <v>26</v>
      </c>
      <c r="D24">
        <v>238</v>
      </c>
      <c r="E24" s="98">
        <v>21.666666666666668</v>
      </c>
      <c r="F24">
        <v>-999.99</v>
      </c>
    </row>
    <row r="25" spans="1:6" x14ac:dyDescent="0.3">
      <c r="A25">
        <v>2019</v>
      </c>
      <c r="B25">
        <v>8</v>
      </c>
      <c r="C25">
        <v>28</v>
      </c>
      <c r="D25">
        <v>240</v>
      </c>
      <c r="E25" s="98">
        <v>20.833333333333336</v>
      </c>
      <c r="F25">
        <v>-999.99</v>
      </c>
    </row>
    <row r="26" spans="1:6" x14ac:dyDescent="0.3">
      <c r="A26">
        <v>2019</v>
      </c>
      <c r="B26">
        <v>8</v>
      </c>
      <c r="C26">
        <v>30</v>
      </c>
      <c r="D26">
        <v>242</v>
      </c>
      <c r="E26" s="98">
        <v>23.333333333333336</v>
      </c>
      <c r="F26">
        <v>-999.99</v>
      </c>
    </row>
    <row r="27" spans="1:6" x14ac:dyDescent="0.3">
      <c r="A27">
        <v>2019</v>
      </c>
      <c r="B27">
        <v>9</v>
      </c>
      <c r="C27">
        <v>2</v>
      </c>
      <c r="D27">
        <v>245</v>
      </c>
      <c r="E27" s="98">
        <v>20</v>
      </c>
      <c r="F27">
        <v>-999.99</v>
      </c>
    </row>
    <row r="28" spans="1:6" x14ac:dyDescent="0.3">
      <c r="A28">
        <v>2019</v>
      </c>
      <c r="B28">
        <v>9</v>
      </c>
      <c r="C28">
        <v>4</v>
      </c>
      <c r="D28">
        <v>247</v>
      </c>
      <c r="E28" s="98">
        <v>17.5</v>
      </c>
      <c r="F28">
        <v>-999.99</v>
      </c>
    </row>
    <row r="29" spans="1:6" x14ac:dyDescent="0.3">
      <c r="A29">
        <v>2019</v>
      </c>
      <c r="B29">
        <v>9</v>
      </c>
      <c r="C29">
        <v>6</v>
      </c>
      <c r="D29">
        <v>249</v>
      </c>
      <c r="E29" s="98">
        <v>18.333333333333336</v>
      </c>
      <c r="F29">
        <v>-999.99</v>
      </c>
    </row>
    <row r="30" spans="1:6" x14ac:dyDescent="0.3">
      <c r="A30">
        <v>2019</v>
      </c>
      <c r="B30">
        <v>9</v>
      </c>
      <c r="C30">
        <v>9</v>
      </c>
      <c r="D30">
        <v>252</v>
      </c>
      <c r="E30" s="98">
        <v>25</v>
      </c>
      <c r="F30">
        <v>-999.99</v>
      </c>
    </row>
    <row r="31" spans="1:6" x14ac:dyDescent="0.3">
      <c r="A31">
        <v>2019</v>
      </c>
      <c r="B31">
        <v>9</v>
      </c>
      <c r="C31">
        <v>11</v>
      </c>
      <c r="D31">
        <v>254</v>
      </c>
      <c r="E31" s="98">
        <v>21.666666666666668</v>
      </c>
      <c r="F31">
        <v>-999.99</v>
      </c>
    </row>
    <row r="32" spans="1:6" x14ac:dyDescent="0.3">
      <c r="A32">
        <v>2019</v>
      </c>
      <c r="B32">
        <v>9</v>
      </c>
      <c r="C32">
        <v>13</v>
      </c>
      <c r="D32">
        <v>256</v>
      </c>
      <c r="E32" s="98">
        <v>19.166666666666668</v>
      </c>
      <c r="F32">
        <v>-999.99</v>
      </c>
    </row>
    <row r="33" spans="1:6" x14ac:dyDescent="0.3">
      <c r="A33">
        <v>2019</v>
      </c>
      <c r="B33">
        <v>9</v>
      </c>
      <c r="C33">
        <v>16</v>
      </c>
      <c r="D33">
        <v>259</v>
      </c>
      <c r="E33" s="98">
        <v>24.166666666666668</v>
      </c>
      <c r="F33">
        <v>-999.99</v>
      </c>
    </row>
    <row r="34" spans="1:6" x14ac:dyDescent="0.3">
      <c r="A34">
        <v>2019</v>
      </c>
      <c r="B34">
        <v>9</v>
      </c>
      <c r="C34">
        <v>18</v>
      </c>
      <c r="D34">
        <v>261</v>
      </c>
      <c r="E34" s="98">
        <v>18.333333333333336</v>
      </c>
      <c r="F34">
        <v>-999.99</v>
      </c>
    </row>
    <row r="35" spans="1:6" x14ac:dyDescent="0.3">
      <c r="A35">
        <v>2019</v>
      </c>
      <c r="B35">
        <v>10</v>
      </c>
      <c r="C35">
        <v>9</v>
      </c>
      <c r="D35">
        <v>282</v>
      </c>
      <c r="E35">
        <v>-999.99</v>
      </c>
      <c r="F35">
        <v>55.1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2130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usms</vt:lpstr>
      <vt:lpstr>ini</vt:lpstr>
      <vt:lpstr>sol</vt:lpstr>
      <vt:lpstr>tec</vt:lpstr>
      <vt:lpstr>sta</vt:lpstr>
      <vt:lpstr>obs</vt:lpstr>
      <vt:lpstr>obs - RG19_vol</vt:lpstr>
      <vt:lpstr>obs - RG19_FA_vol</vt:lpstr>
      <vt:lpstr>obs - RG19_Y100_vol</vt:lpstr>
      <vt:lpstr>obs - RG19_bd1.4</vt:lpstr>
      <vt:lpstr>obs - RG19_FA_bd1.4</vt:lpstr>
      <vt:lpstr>obs - RG19_Y100_bd1.4</vt:lpstr>
      <vt:lpstr>obs - RG19_bd1.2</vt:lpstr>
      <vt:lpstr>obs - RG19_FA_bd1.2</vt:lpstr>
      <vt:lpstr>obs - RG19_Y100_bd1.2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inra</dc:creator>
  <dc:description/>
  <cp:lastModifiedBy>Mariaelisa Polsinelli</cp:lastModifiedBy>
  <cp:revision>31</cp:revision>
  <dcterms:created xsi:type="dcterms:W3CDTF">2019-01-28T10:09:50Z</dcterms:created>
  <dcterms:modified xsi:type="dcterms:W3CDTF">2025-07-06T03:47:07Z</dcterms:modified>
  <dc:language>fr-FR</dc:language>
</cp:coreProperties>
</file>